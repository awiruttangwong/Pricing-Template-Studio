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ทดสอบสูตร\"/>
    </mc:Choice>
  </mc:AlternateContent>
  <xr:revisionPtr revIDLastSave="0" documentId="13_ncr:1_{0F9BA475-09A1-491D-8379-FA1015B124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ตัวคูณ" sheetId="1" r:id="rId1"/>
    <sheet name="BEST" sheetId="2" r:id="rId2"/>
    <sheet name="Price Cost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D9" i="3"/>
  <c r="E9" i="3" s="1"/>
  <c r="F9" i="3" s="1"/>
  <c r="G9" i="3" s="1"/>
  <c r="H9" i="3" s="1"/>
  <c r="I9" i="3" s="1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D8" i="3"/>
  <c r="E8" i="3" s="1"/>
  <c r="F8" i="3" s="1"/>
  <c r="G8" i="3" s="1"/>
  <c r="H8" i="3" s="1"/>
  <c r="I8" i="3" s="1"/>
  <c r="K7" i="3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D7" i="3"/>
  <c r="E7" i="3" s="1"/>
  <c r="F7" i="3" s="1"/>
  <c r="G7" i="3" s="1"/>
  <c r="H7" i="3" s="1"/>
  <c r="I7" i="3" s="1"/>
  <c r="K6" i="3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D6" i="3"/>
  <c r="E6" i="3" s="1"/>
  <c r="F6" i="3" s="1"/>
  <c r="G6" i="3" s="1"/>
  <c r="H6" i="3" s="1"/>
  <c r="I6" i="3" s="1"/>
  <c r="K5" i="3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D5" i="3"/>
  <c r="E5" i="3" s="1"/>
  <c r="F5" i="3" s="1"/>
  <c r="G5" i="3" s="1"/>
  <c r="H5" i="3" s="1"/>
  <c r="I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D4" i="3"/>
  <c r="E4" i="3" s="1"/>
  <c r="F4" i="3" s="1"/>
  <c r="G4" i="3" s="1"/>
  <c r="H4" i="3" s="1"/>
  <c r="I4" i="3" s="1"/>
  <c r="K3" i="3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D3" i="3"/>
  <c r="E3" i="3" s="1"/>
  <c r="F3" i="3" s="1"/>
  <c r="G3" i="3" s="1"/>
  <c r="H3" i="3" s="1"/>
  <c r="I3" i="3" s="1"/>
  <c r="A1" i="3"/>
  <c r="C17" i="2"/>
  <c r="J14" i="2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E14" i="2"/>
  <c r="F14" i="2" s="1"/>
  <c r="G14" i="2" s="1"/>
  <c r="H14" i="2" s="1"/>
  <c r="I14" i="2" s="1"/>
  <c r="C14" i="2"/>
  <c r="D14" i="2" s="1"/>
  <c r="E13" i="2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D13" i="2"/>
  <c r="C13" i="2"/>
  <c r="I12" i="2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H12" i="2"/>
  <c r="C12" i="2"/>
  <c r="D12" i="2" s="1"/>
  <c r="E12" i="2" s="1"/>
  <c r="F12" i="2" s="1"/>
  <c r="G12" i="2" s="1"/>
  <c r="D11" i="2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CJ11" i="2" s="1"/>
  <c r="CK11" i="2" s="1"/>
  <c r="CL11" i="2" s="1"/>
  <c r="CM11" i="2" s="1"/>
  <c r="C11" i="2"/>
  <c r="B9" i="2"/>
  <c r="E6" i="2"/>
  <c r="C6" i="2"/>
  <c r="D6" i="2" s="1"/>
  <c r="D23" i="2" s="1"/>
  <c r="C5" i="2"/>
  <c r="C4" i="2"/>
  <c r="C21" i="2" s="1"/>
  <c r="C3" i="2"/>
  <c r="A1" i="2"/>
  <c r="B17" i="2" s="1"/>
  <c r="E23" i="2" l="1"/>
  <c r="C23" i="2"/>
  <c r="C20" i="2"/>
  <c r="D4" i="2"/>
  <c r="F6" i="2"/>
  <c r="D3" i="2"/>
  <c r="C22" i="2"/>
  <c r="D5" i="2"/>
  <c r="D22" i="2" l="1"/>
  <c r="E5" i="2"/>
  <c r="D20" i="2"/>
  <c r="E3" i="2"/>
  <c r="F23" i="2"/>
  <c r="G6" i="2"/>
  <c r="D21" i="2"/>
  <c r="E4" i="2"/>
  <c r="E21" i="2" l="1"/>
  <c r="F4" i="2"/>
  <c r="F3" i="2"/>
  <c r="E20" i="2"/>
  <c r="G23" i="2"/>
  <c r="H6" i="2"/>
  <c r="E22" i="2"/>
  <c r="F5" i="2"/>
  <c r="F22" i="2" l="1"/>
  <c r="G5" i="2"/>
  <c r="H23" i="2"/>
  <c r="I6" i="2"/>
  <c r="F21" i="2"/>
  <c r="G4" i="2"/>
  <c r="G3" i="2"/>
  <c r="F20" i="2"/>
  <c r="G21" i="2" l="1"/>
  <c r="H4" i="2"/>
  <c r="H3" i="2"/>
  <c r="G20" i="2"/>
  <c r="I23" i="2"/>
  <c r="J6" i="2"/>
  <c r="G22" i="2"/>
  <c r="H5" i="2"/>
  <c r="J23" i="2" l="1"/>
  <c r="K6" i="2"/>
  <c r="H21" i="2"/>
  <c r="I4" i="2"/>
  <c r="I5" i="2"/>
  <c r="H22" i="2"/>
  <c r="H20" i="2"/>
  <c r="I3" i="2"/>
  <c r="I20" i="2" l="1"/>
  <c r="J3" i="2"/>
  <c r="I22" i="2"/>
  <c r="J5" i="2"/>
  <c r="I21" i="2"/>
  <c r="J4" i="2"/>
  <c r="K23" i="2"/>
  <c r="L6" i="2"/>
  <c r="J21" i="2" l="1"/>
  <c r="K4" i="2"/>
  <c r="L23" i="2"/>
  <c r="M6" i="2"/>
  <c r="J22" i="2"/>
  <c r="K5" i="2"/>
  <c r="J20" i="2"/>
  <c r="K3" i="2"/>
  <c r="L4" i="2" l="1"/>
  <c r="K21" i="2"/>
  <c r="K22" i="2"/>
  <c r="L5" i="2"/>
  <c r="K20" i="2"/>
  <c r="L3" i="2"/>
  <c r="N6" i="2"/>
  <c r="M23" i="2"/>
  <c r="L20" i="2" l="1"/>
  <c r="M3" i="2"/>
  <c r="O6" i="2"/>
  <c r="N23" i="2"/>
  <c r="L22" i="2"/>
  <c r="M5" i="2"/>
  <c r="M4" i="2"/>
  <c r="L21" i="2"/>
  <c r="N4" i="2" l="1"/>
  <c r="M21" i="2"/>
  <c r="M22" i="2"/>
  <c r="N5" i="2"/>
  <c r="P6" i="2"/>
  <c r="O23" i="2"/>
  <c r="M20" i="2"/>
  <c r="N3" i="2"/>
  <c r="P23" i="2" l="1"/>
  <c r="Q6" i="2"/>
  <c r="N22" i="2"/>
  <c r="O5" i="2"/>
  <c r="N20" i="2"/>
  <c r="O3" i="2"/>
  <c r="N21" i="2"/>
  <c r="O4" i="2"/>
  <c r="O21" i="2" l="1"/>
  <c r="P4" i="2"/>
  <c r="P3" i="2"/>
  <c r="O20" i="2"/>
  <c r="O22" i="2"/>
  <c r="P5" i="2"/>
  <c r="Q23" i="2"/>
  <c r="R6" i="2"/>
  <c r="R23" i="2" l="1"/>
  <c r="S6" i="2"/>
  <c r="P22" i="2"/>
  <c r="Q5" i="2"/>
  <c r="P20" i="2"/>
  <c r="Q3" i="2"/>
  <c r="P21" i="2"/>
  <c r="Q4" i="2"/>
  <c r="Q20" i="2" l="1"/>
  <c r="R3" i="2"/>
  <c r="Q21" i="2"/>
  <c r="R4" i="2"/>
  <c r="Q22" i="2"/>
  <c r="R5" i="2"/>
  <c r="S23" i="2"/>
  <c r="T6" i="2"/>
  <c r="T23" i="2" l="1"/>
  <c r="U6" i="2"/>
  <c r="R22" i="2"/>
  <c r="S5" i="2"/>
  <c r="R21" i="2"/>
  <c r="S4" i="2"/>
  <c r="S3" i="2"/>
  <c r="R20" i="2"/>
  <c r="S20" i="2" l="1"/>
  <c r="T3" i="2"/>
  <c r="S22" i="2"/>
  <c r="T5" i="2"/>
  <c r="S21" i="2"/>
  <c r="T4" i="2"/>
  <c r="U23" i="2"/>
  <c r="V6" i="2"/>
  <c r="V23" i="2" l="1"/>
  <c r="W6" i="2"/>
  <c r="U5" i="2"/>
  <c r="T22" i="2"/>
  <c r="T21" i="2"/>
  <c r="U4" i="2"/>
  <c r="T20" i="2"/>
  <c r="U3" i="2"/>
  <c r="U20" i="2" l="1"/>
  <c r="V3" i="2"/>
  <c r="U21" i="2"/>
  <c r="V4" i="2"/>
  <c r="U22" i="2"/>
  <c r="V5" i="2"/>
  <c r="W23" i="2"/>
  <c r="X6" i="2"/>
  <c r="X23" i="2" l="1"/>
  <c r="Y6" i="2"/>
  <c r="V21" i="2"/>
  <c r="W4" i="2"/>
  <c r="V22" i="2"/>
  <c r="W5" i="2"/>
  <c r="V20" i="2"/>
  <c r="W3" i="2"/>
  <c r="W20" i="2" l="1"/>
  <c r="X3" i="2"/>
  <c r="W22" i="2"/>
  <c r="X5" i="2"/>
  <c r="W21" i="2"/>
  <c r="X4" i="2"/>
  <c r="Y23" i="2"/>
  <c r="Z6" i="2"/>
  <c r="Z23" i="2" l="1"/>
  <c r="AA6" i="2"/>
  <c r="X21" i="2"/>
  <c r="Y4" i="2"/>
  <c r="X22" i="2"/>
  <c r="Y5" i="2"/>
  <c r="X20" i="2"/>
  <c r="Y3" i="2"/>
  <c r="Y20" i="2" l="1"/>
  <c r="Z3" i="2"/>
  <c r="Z4" i="2"/>
  <c r="Y21" i="2"/>
  <c r="AB6" i="2"/>
  <c r="AA23" i="2"/>
  <c r="Y22" i="2"/>
  <c r="Z5" i="2"/>
  <c r="AB23" i="2" l="1"/>
  <c r="AC6" i="2"/>
  <c r="Z22" i="2"/>
  <c r="AA5" i="2"/>
  <c r="Z21" i="2"/>
  <c r="AA4" i="2"/>
  <c r="Z20" i="2"/>
  <c r="AA3" i="2"/>
  <c r="AA20" i="2" l="1"/>
  <c r="AB3" i="2"/>
  <c r="AA21" i="2"/>
  <c r="AB4" i="2"/>
  <c r="AA22" i="2"/>
  <c r="AB5" i="2"/>
  <c r="AC23" i="2"/>
  <c r="AD6" i="2"/>
  <c r="AD23" i="2" l="1"/>
  <c r="AE6" i="2"/>
  <c r="AB22" i="2"/>
  <c r="AC5" i="2"/>
  <c r="AB21" i="2"/>
  <c r="AC4" i="2"/>
  <c r="AB20" i="2"/>
  <c r="AC3" i="2"/>
  <c r="AC20" i="2" l="1"/>
  <c r="AD3" i="2"/>
  <c r="AC21" i="2"/>
  <c r="AD4" i="2"/>
  <c r="AC22" i="2"/>
  <c r="AD5" i="2"/>
  <c r="AE23" i="2"/>
  <c r="AF6" i="2"/>
  <c r="AF23" i="2" l="1"/>
  <c r="AG6" i="2"/>
  <c r="AD22" i="2"/>
  <c r="AE5" i="2"/>
  <c r="AD21" i="2"/>
  <c r="AE4" i="2"/>
  <c r="AE3" i="2"/>
  <c r="AD20" i="2"/>
  <c r="AF3" i="2" l="1"/>
  <c r="AE20" i="2"/>
  <c r="AE21" i="2"/>
  <c r="AF4" i="2"/>
  <c r="AF5" i="2"/>
  <c r="AE22" i="2"/>
  <c r="AG23" i="2"/>
  <c r="AH6" i="2"/>
  <c r="AG5" i="2" l="1"/>
  <c r="AF22" i="2"/>
  <c r="AF21" i="2"/>
  <c r="AG4" i="2"/>
  <c r="AH23" i="2"/>
  <c r="AI6" i="2"/>
  <c r="AF20" i="2"/>
  <c r="AG3" i="2"/>
  <c r="AG22" i="2" l="1"/>
  <c r="AH5" i="2"/>
  <c r="AG21" i="2"/>
  <c r="AH4" i="2"/>
  <c r="AG20" i="2"/>
  <c r="AH3" i="2"/>
  <c r="AI23" i="2"/>
  <c r="AJ6" i="2"/>
  <c r="AJ23" i="2" l="1"/>
  <c r="AK6" i="2"/>
  <c r="AI3" i="2"/>
  <c r="AH20" i="2"/>
  <c r="AH21" i="2"/>
  <c r="AI4" i="2"/>
  <c r="AH22" i="2"/>
  <c r="AI5" i="2"/>
  <c r="AI22" i="2" l="1"/>
  <c r="AJ5" i="2"/>
  <c r="AI21" i="2"/>
  <c r="AJ4" i="2"/>
  <c r="AI20" i="2"/>
  <c r="AJ3" i="2"/>
  <c r="AK23" i="2"/>
  <c r="AL6" i="2"/>
  <c r="AL23" i="2" l="1"/>
  <c r="AM6" i="2"/>
  <c r="AJ20" i="2"/>
  <c r="AK3" i="2"/>
  <c r="AJ21" i="2"/>
  <c r="AK4" i="2"/>
  <c r="AJ22" i="2"/>
  <c r="AK5" i="2"/>
  <c r="AK22" i="2" l="1"/>
  <c r="AL5" i="2"/>
  <c r="AL4" i="2"/>
  <c r="AK21" i="2"/>
  <c r="AK20" i="2"/>
  <c r="AL3" i="2"/>
  <c r="AN6" i="2"/>
  <c r="AM23" i="2"/>
  <c r="AN23" i="2" l="1"/>
  <c r="AO6" i="2"/>
  <c r="AL20" i="2"/>
  <c r="AM3" i="2"/>
  <c r="AM4" i="2"/>
  <c r="AL21" i="2"/>
  <c r="AL22" i="2"/>
  <c r="AM5" i="2"/>
  <c r="AM22" i="2" l="1"/>
  <c r="AN5" i="2"/>
  <c r="AM21" i="2"/>
  <c r="AN4" i="2"/>
  <c r="AM20" i="2"/>
  <c r="AN3" i="2"/>
  <c r="AO23" i="2"/>
  <c r="AP6" i="2"/>
  <c r="AP23" i="2" l="1"/>
  <c r="AQ6" i="2"/>
  <c r="AN20" i="2"/>
  <c r="AO3" i="2"/>
  <c r="AN21" i="2"/>
  <c r="AO4" i="2"/>
  <c r="AN22" i="2"/>
  <c r="AO5" i="2"/>
  <c r="AO22" i="2" l="1"/>
  <c r="AP5" i="2"/>
  <c r="AO21" i="2"/>
  <c r="AP4" i="2"/>
  <c r="AO20" i="2"/>
  <c r="AP3" i="2"/>
  <c r="AQ23" i="2"/>
  <c r="AR6" i="2"/>
  <c r="AR23" i="2" l="1"/>
  <c r="AS6" i="2"/>
  <c r="AP21" i="2"/>
  <c r="AQ4" i="2"/>
  <c r="AQ3" i="2"/>
  <c r="AP20" i="2"/>
  <c r="AP22" i="2"/>
  <c r="AQ5" i="2"/>
  <c r="AQ22" i="2" l="1"/>
  <c r="AR5" i="2"/>
  <c r="AQ20" i="2"/>
  <c r="AR3" i="2"/>
  <c r="AQ21" i="2"/>
  <c r="AR4" i="2"/>
  <c r="AS23" i="2"/>
  <c r="AT6" i="2"/>
  <c r="AT23" i="2" l="1"/>
  <c r="AU6" i="2"/>
  <c r="AR21" i="2"/>
  <c r="AS4" i="2"/>
  <c r="AR20" i="2"/>
  <c r="AS3" i="2"/>
  <c r="AS5" i="2"/>
  <c r="AR22" i="2"/>
  <c r="AS22" i="2" l="1"/>
  <c r="AT5" i="2"/>
  <c r="AU23" i="2"/>
  <c r="AV6" i="2"/>
  <c r="AS21" i="2"/>
  <c r="AT4" i="2"/>
  <c r="AS20" i="2"/>
  <c r="AT3" i="2"/>
  <c r="AT20" i="2" l="1"/>
  <c r="AU3" i="2"/>
  <c r="AT21" i="2"/>
  <c r="AU4" i="2"/>
  <c r="AV23" i="2"/>
  <c r="AW6" i="2"/>
  <c r="AT22" i="2"/>
  <c r="AU5" i="2"/>
  <c r="AW23" i="2" l="1"/>
  <c r="AX6" i="2"/>
  <c r="AU22" i="2"/>
  <c r="AV5" i="2"/>
  <c r="AV4" i="2"/>
  <c r="AU21" i="2"/>
  <c r="AU20" i="2"/>
  <c r="AV3" i="2"/>
  <c r="AV20" i="2" l="1"/>
  <c r="AW3" i="2"/>
  <c r="AW4" i="2"/>
  <c r="AV21" i="2"/>
  <c r="AV22" i="2"/>
  <c r="AW5" i="2"/>
  <c r="AY6" i="2"/>
  <c r="AX23" i="2"/>
  <c r="AX4" i="2" l="1"/>
  <c r="AW21" i="2"/>
  <c r="AZ6" i="2"/>
  <c r="AY23" i="2"/>
  <c r="AW22" i="2"/>
  <c r="AX5" i="2"/>
  <c r="AW20" i="2"/>
  <c r="AX3" i="2"/>
  <c r="AX20" i="2" l="1"/>
  <c r="AY3" i="2"/>
  <c r="AX22" i="2"/>
  <c r="AY5" i="2"/>
  <c r="AZ23" i="2"/>
  <c r="BA6" i="2"/>
  <c r="AX21" i="2"/>
  <c r="AY4" i="2"/>
  <c r="AY21" i="2" l="1"/>
  <c r="AZ4" i="2"/>
  <c r="BA23" i="2"/>
  <c r="BB6" i="2"/>
  <c r="AY22" i="2"/>
  <c r="AZ5" i="2"/>
  <c r="AY20" i="2"/>
  <c r="AZ3" i="2"/>
  <c r="BB23" i="2" l="1"/>
  <c r="BC6" i="2"/>
  <c r="AZ20" i="2"/>
  <c r="BA3" i="2"/>
  <c r="AZ22" i="2"/>
  <c r="BA5" i="2"/>
  <c r="AZ21" i="2"/>
  <c r="BA4" i="2"/>
  <c r="BA21" i="2" l="1"/>
  <c r="BB4" i="2"/>
  <c r="BA22" i="2"/>
  <c r="BB5" i="2"/>
  <c r="BA20" i="2"/>
  <c r="BB3" i="2"/>
  <c r="BC23" i="2"/>
  <c r="BD6" i="2"/>
  <c r="BD23" i="2" l="1"/>
  <c r="BE6" i="2"/>
  <c r="BB20" i="2"/>
  <c r="BC3" i="2"/>
  <c r="BB22" i="2"/>
  <c r="BC5" i="2"/>
  <c r="BB21" i="2"/>
  <c r="BC4" i="2"/>
  <c r="BC21" i="2" l="1"/>
  <c r="BD4" i="2"/>
  <c r="BC22" i="2"/>
  <c r="BD5" i="2"/>
  <c r="BC20" i="2"/>
  <c r="BD3" i="2"/>
  <c r="BE23" i="2"/>
  <c r="BF6" i="2"/>
  <c r="BF23" i="2" l="1"/>
  <c r="BG6" i="2"/>
  <c r="BE5" i="2"/>
  <c r="BD22" i="2"/>
  <c r="BD20" i="2"/>
  <c r="BE3" i="2"/>
  <c r="BD21" i="2"/>
  <c r="BE4" i="2"/>
  <c r="BE21" i="2" l="1"/>
  <c r="BF4" i="2"/>
  <c r="BE20" i="2"/>
  <c r="BF3" i="2"/>
  <c r="BE22" i="2"/>
  <c r="BF5" i="2"/>
  <c r="BG23" i="2"/>
  <c r="BH6" i="2"/>
  <c r="BH23" i="2" l="1"/>
  <c r="BI6" i="2"/>
  <c r="BG3" i="2"/>
  <c r="BF20" i="2"/>
  <c r="BF22" i="2"/>
  <c r="BG5" i="2"/>
  <c r="BF21" i="2"/>
  <c r="BG4" i="2"/>
  <c r="BG21" i="2" l="1"/>
  <c r="BH4" i="2"/>
  <c r="BG22" i="2"/>
  <c r="BH5" i="2"/>
  <c r="BG20" i="2"/>
  <c r="BH3" i="2"/>
  <c r="BI23" i="2"/>
  <c r="BJ6" i="2"/>
  <c r="BK6" i="2" l="1"/>
  <c r="BJ23" i="2"/>
  <c r="BH20" i="2"/>
  <c r="BI3" i="2"/>
  <c r="BH22" i="2"/>
  <c r="BI5" i="2"/>
  <c r="BH21" i="2"/>
  <c r="BI4" i="2"/>
  <c r="BI20" i="2" l="1"/>
  <c r="BJ3" i="2"/>
  <c r="BJ4" i="2"/>
  <c r="BI21" i="2"/>
  <c r="BI22" i="2"/>
  <c r="BJ5" i="2"/>
  <c r="BL6" i="2"/>
  <c r="BK23" i="2"/>
  <c r="BL23" i="2" l="1"/>
  <c r="BM6" i="2"/>
  <c r="BJ22" i="2"/>
  <c r="BK5" i="2"/>
  <c r="BJ21" i="2"/>
  <c r="BK4" i="2"/>
  <c r="BJ20" i="2"/>
  <c r="BK3" i="2"/>
  <c r="BK22" i="2" l="1"/>
  <c r="BL5" i="2"/>
  <c r="BK20" i="2"/>
  <c r="BL3" i="2"/>
  <c r="BK21" i="2"/>
  <c r="BL4" i="2"/>
  <c r="BM23" i="2"/>
  <c r="BN6" i="2"/>
  <c r="BN23" i="2" l="1"/>
  <c r="BO6" i="2"/>
  <c r="BL21" i="2"/>
  <c r="BM4" i="2"/>
  <c r="BM3" i="2"/>
  <c r="BL20" i="2"/>
  <c r="BL22" i="2"/>
  <c r="BM5" i="2"/>
  <c r="BM22" i="2" l="1"/>
  <c r="BN5" i="2"/>
  <c r="BN3" i="2"/>
  <c r="BM20" i="2"/>
  <c r="BM21" i="2"/>
  <c r="BN4" i="2"/>
  <c r="BO23" i="2"/>
  <c r="BP6" i="2"/>
  <c r="BP23" i="2" l="1"/>
  <c r="BQ6" i="2"/>
  <c r="BN21" i="2"/>
  <c r="BO4" i="2"/>
  <c r="BO3" i="2"/>
  <c r="BN20" i="2"/>
  <c r="BO5" i="2"/>
  <c r="BN22" i="2"/>
  <c r="BO20" i="2" l="1"/>
  <c r="BP3" i="2"/>
  <c r="BO21" i="2"/>
  <c r="BP4" i="2"/>
  <c r="BP5" i="2"/>
  <c r="BO22" i="2"/>
  <c r="BQ23" i="2"/>
  <c r="BR6" i="2"/>
  <c r="BR23" i="2" l="1"/>
  <c r="BS6" i="2"/>
  <c r="BQ5" i="2"/>
  <c r="BP22" i="2"/>
  <c r="BP21" i="2"/>
  <c r="BQ4" i="2"/>
  <c r="BP20" i="2"/>
  <c r="BQ3" i="2"/>
  <c r="BQ20" i="2" l="1"/>
  <c r="BR3" i="2"/>
  <c r="BQ21" i="2"/>
  <c r="BR4" i="2"/>
  <c r="BQ22" i="2"/>
  <c r="BR5" i="2"/>
  <c r="BS23" i="2"/>
  <c r="BT6" i="2"/>
  <c r="BT23" i="2" l="1"/>
  <c r="BU6" i="2"/>
  <c r="BR22" i="2"/>
  <c r="BS5" i="2"/>
  <c r="BR21" i="2"/>
  <c r="BS4" i="2"/>
  <c r="BR20" i="2"/>
  <c r="BS3" i="2"/>
  <c r="BS20" i="2" l="1"/>
  <c r="BT3" i="2"/>
  <c r="BS22" i="2"/>
  <c r="BT5" i="2"/>
  <c r="BS21" i="2"/>
  <c r="BT4" i="2"/>
  <c r="BU23" i="2"/>
  <c r="BV6" i="2"/>
  <c r="BV23" i="2" l="1"/>
  <c r="BW6" i="2"/>
  <c r="BT21" i="2"/>
  <c r="BU4" i="2"/>
  <c r="BT22" i="2"/>
  <c r="BU5" i="2"/>
  <c r="BT20" i="2"/>
  <c r="BU3" i="2"/>
  <c r="BU20" i="2" l="1"/>
  <c r="BV3" i="2"/>
  <c r="BU22" i="2"/>
  <c r="BV5" i="2"/>
  <c r="BV4" i="2"/>
  <c r="BU21" i="2"/>
  <c r="BX6" i="2"/>
  <c r="BW23" i="2"/>
  <c r="BX23" i="2" l="1"/>
  <c r="BY6" i="2"/>
  <c r="BV20" i="2"/>
  <c r="BW3" i="2"/>
  <c r="BV21" i="2"/>
  <c r="BW4" i="2"/>
  <c r="BV22" i="2"/>
  <c r="BW5" i="2"/>
  <c r="BW22" i="2" l="1"/>
  <c r="BX5" i="2"/>
  <c r="BW21" i="2"/>
  <c r="BX4" i="2"/>
  <c r="BW20" i="2"/>
  <c r="BX3" i="2"/>
  <c r="BY23" i="2"/>
  <c r="BZ6" i="2"/>
  <c r="BZ23" i="2" l="1"/>
  <c r="CA6" i="2"/>
  <c r="BX20" i="2"/>
  <c r="BY3" i="2"/>
  <c r="BX21" i="2"/>
  <c r="BY4" i="2"/>
  <c r="BX22" i="2"/>
  <c r="BY5" i="2"/>
  <c r="BY22" i="2" l="1"/>
  <c r="BZ5" i="2"/>
  <c r="BY21" i="2"/>
  <c r="BZ4" i="2"/>
  <c r="BY20" i="2"/>
  <c r="BZ3" i="2"/>
  <c r="CA23" i="2"/>
  <c r="CB6" i="2"/>
  <c r="CB23" i="2" l="1"/>
  <c r="CC6" i="2"/>
  <c r="CA3" i="2"/>
  <c r="BZ20" i="2"/>
  <c r="BZ21" i="2"/>
  <c r="CA4" i="2"/>
  <c r="BZ22" i="2"/>
  <c r="CA5" i="2"/>
  <c r="CA22" i="2" l="1"/>
  <c r="CB5" i="2"/>
  <c r="CA21" i="2"/>
  <c r="CB4" i="2"/>
  <c r="CA20" i="2"/>
  <c r="CB3" i="2"/>
  <c r="CC23" i="2"/>
  <c r="CD6" i="2"/>
  <c r="CD23" i="2" l="1"/>
  <c r="CE6" i="2"/>
  <c r="CB20" i="2"/>
  <c r="CC3" i="2"/>
  <c r="CB21" i="2"/>
  <c r="CC4" i="2"/>
  <c r="CC5" i="2"/>
  <c r="CB22" i="2"/>
  <c r="CC22" i="2" l="1"/>
  <c r="CD5" i="2"/>
  <c r="CC21" i="2"/>
  <c r="CD4" i="2"/>
  <c r="CC20" i="2"/>
  <c r="CD3" i="2"/>
  <c r="CE23" i="2"/>
  <c r="CF6" i="2"/>
  <c r="CF23" i="2" l="1"/>
  <c r="CG6" i="2"/>
  <c r="CD20" i="2"/>
  <c r="CE3" i="2"/>
  <c r="CD21" i="2"/>
  <c r="CE4" i="2"/>
  <c r="CD22" i="2"/>
  <c r="CE5" i="2"/>
  <c r="CE22" i="2" l="1"/>
  <c r="CF5" i="2"/>
  <c r="CF4" i="2"/>
  <c r="CE21" i="2"/>
  <c r="CE20" i="2"/>
  <c r="CF3" i="2"/>
  <c r="CG23" i="2"/>
  <c r="CH6" i="2"/>
  <c r="CI6" i="2" l="1"/>
  <c r="CH23" i="2"/>
  <c r="CF20" i="2"/>
  <c r="CG3" i="2"/>
  <c r="CG4" i="2"/>
  <c r="CF21" i="2"/>
  <c r="CF22" i="2"/>
  <c r="CG5" i="2"/>
  <c r="CG22" i="2" l="1"/>
  <c r="CH5" i="2"/>
  <c r="CH4" i="2"/>
  <c r="CG21" i="2"/>
  <c r="CG20" i="2"/>
  <c r="CH3" i="2"/>
  <c r="CJ6" i="2"/>
  <c r="CI23" i="2"/>
  <c r="CJ23" i="2" l="1"/>
  <c r="CK6" i="2"/>
  <c r="CH20" i="2"/>
  <c r="CI3" i="2"/>
  <c r="CH21" i="2"/>
  <c r="CI4" i="2"/>
  <c r="CH22" i="2"/>
  <c r="CI5" i="2"/>
  <c r="CI22" i="2" l="1"/>
  <c r="CJ5" i="2"/>
  <c r="CI21" i="2"/>
  <c r="CJ4" i="2"/>
  <c r="CI20" i="2"/>
  <c r="CJ3" i="2"/>
  <c r="CK23" i="2"/>
  <c r="CL6" i="2"/>
  <c r="CL23" i="2" l="1"/>
  <c r="CM6" i="2"/>
  <c r="CM23" i="2" s="1"/>
  <c r="CJ20" i="2"/>
  <c r="CK3" i="2"/>
  <c r="CJ21" i="2"/>
  <c r="CK4" i="2"/>
  <c r="CJ22" i="2"/>
  <c r="CK5" i="2"/>
  <c r="CK22" i="2" l="1"/>
  <c r="CL5" i="2"/>
  <c r="CK21" i="2"/>
  <c r="CL4" i="2"/>
  <c r="CK20" i="2"/>
  <c r="CL3" i="2"/>
  <c r="CM3" i="2" l="1"/>
  <c r="CM20" i="2" s="1"/>
  <c r="CL20" i="2"/>
  <c r="CL21" i="2"/>
  <c r="CM4" i="2"/>
  <c r="CM21" i="2" s="1"/>
  <c r="CL22" i="2"/>
  <c r="CM5" i="2"/>
  <c r="CM22" i="2" s="1"/>
</calcChain>
</file>

<file path=xl/sharedStrings.xml><?xml version="1.0" encoding="utf-8"?>
<sst xmlns="http://schemas.openxmlformats.org/spreadsheetml/2006/main" count="347" uniqueCount="109">
  <si>
    <t>ฐาน</t>
  </si>
  <si>
    <t>ปรับฐาน</t>
  </si>
  <si>
    <t>Origin-Destination</t>
  </si>
  <si>
    <t>34.00-34.99</t>
  </si>
  <si>
    <t>35.00-35.99</t>
  </si>
  <si>
    <t>36.00-36.99</t>
  </si>
  <si>
    <t>37.00-37.99</t>
  </si>
  <si>
    <t>38.00-38.99</t>
  </si>
  <si>
    <t>39.00-39.99</t>
  </si>
  <si>
    <t>40.00-40.99</t>
  </si>
  <si>
    <t>41.00-41.99</t>
  </si>
  <si>
    <t>42.00-42.99</t>
  </si>
  <si>
    <t>43.00-43.99</t>
  </si>
  <si>
    <t>44.00-44.99</t>
  </si>
  <si>
    <t>45.00-45.99</t>
  </si>
  <si>
    <t>46.00-46.99</t>
  </si>
  <si>
    <t>47.00-47.99</t>
  </si>
  <si>
    <t>48.00-48.99</t>
  </si>
  <si>
    <t>49.00-49.99</t>
  </si>
  <si>
    <t>50.00-50.99</t>
  </si>
  <si>
    <t>51.00-51.99</t>
  </si>
  <si>
    <t>52.00-52.99</t>
  </si>
  <si>
    <t>53.00-53.99</t>
  </si>
  <si>
    <t>54.00-54.99</t>
  </si>
  <si>
    <t>55.00-55.99</t>
  </si>
  <si>
    <t>56.00-56.99</t>
  </si>
  <si>
    <t>57.00-57.99</t>
  </si>
  <si>
    <t>58.00-58.99</t>
  </si>
  <si>
    <t>59.00-59.99</t>
  </si>
  <si>
    <t>60.00-60.99</t>
  </si>
  <si>
    <t>61.00-61.99</t>
  </si>
  <si>
    <t>62.00-62.99</t>
  </si>
  <si>
    <t>63.00-63.99</t>
  </si>
  <si>
    <t>64.00-64.99</t>
  </si>
  <si>
    <t>65.00-65.99</t>
  </si>
  <si>
    <t>66.00-66.99</t>
  </si>
  <si>
    <t>67.00-67.99</t>
  </si>
  <si>
    <t>68.00-68.99</t>
  </si>
  <si>
    <t>69.00-69.99</t>
  </si>
  <si>
    <t>70.00-70.99</t>
  </si>
  <si>
    <t>71.00-71.99</t>
  </si>
  <si>
    <t>72.00-72.99</t>
  </si>
  <si>
    <t>73.00-73.99</t>
  </si>
  <si>
    <t>74.00-74.99</t>
  </si>
  <si>
    <t>75.00-75.99</t>
  </si>
  <si>
    <t>76.00-76.99</t>
  </si>
  <si>
    <t>77.00-77.99</t>
  </si>
  <si>
    <t>78.00-78.99</t>
  </si>
  <si>
    <t>79.00-79.99</t>
  </si>
  <si>
    <t>80.00-80.99</t>
  </si>
  <si>
    <t>81.00-81.99</t>
  </si>
  <si>
    <t>82.00-82.99</t>
  </si>
  <si>
    <t>83.00-83.99</t>
  </si>
  <si>
    <t>84.00-84.99</t>
  </si>
  <si>
    <t>85.00-85.99</t>
  </si>
  <si>
    <t>86.00-86.99</t>
  </si>
  <si>
    <t>87.00-87.99</t>
  </si>
  <si>
    <t>88.00-88.99</t>
  </si>
  <si>
    <t>89.00-89.99</t>
  </si>
  <si>
    <t>90.00-90.99</t>
  </si>
  <si>
    <t>91.00-91.99</t>
  </si>
  <si>
    <t>92.00-92.99</t>
  </si>
  <si>
    <t>93.00-93.99</t>
  </si>
  <si>
    <t>94.00-94.99</t>
  </si>
  <si>
    <t>95.00-95.99</t>
  </si>
  <si>
    <t>96.00-96.99</t>
  </si>
  <si>
    <t>97.00-97.99</t>
  </si>
  <si>
    <t>98.00-98.99</t>
  </si>
  <si>
    <t>99.00-99.99</t>
  </si>
  <si>
    <t>100.00-100.99</t>
  </si>
  <si>
    <t>101.00-101.99</t>
  </si>
  <si>
    <t>102.00-102.99</t>
  </si>
  <si>
    <t>103.00-103.99</t>
  </si>
  <si>
    <t>104.00-104.99</t>
  </si>
  <si>
    <t>105.00-105.99</t>
  </si>
  <si>
    <t>106.00-106.99</t>
  </si>
  <si>
    <t>107.00-107.99</t>
  </si>
  <si>
    <t>108.00-108.99</t>
  </si>
  <si>
    <t>109.00-109.99</t>
  </si>
  <si>
    <t>110.00-110.99</t>
  </si>
  <si>
    <t>111.00-111.99</t>
  </si>
  <si>
    <t>112.00-112.99</t>
  </si>
  <si>
    <t>113.00-113.99</t>
  </si>
  <si>
    <t>114.00-114.99</t>
  </si>
  <si>
    <t>115.00-115.99</t>
  </si>
  <si>
    <t>116.00-116.99</t>
  </si>
  <si>
    <t>117.00-117.99</t>
  </si>
  <si>
    <t>118.00-118.99</t>
  </si>
  <si>
    <t>119.00-119.99</t>
  </si>
  <si>
    <t>120.00-120.99</t>
  </si>
  <si>
    <t>121.00-121.99</t>
  </si>
  <si>
    <t>122.00-122.99</t>
  </si>
  <si>
    <t>BKK-LPT</t>
  </si>
  <si>
    <t>BKK-KKC</t>
  </si>
  <si>
    <t>BKK-HDY</t>
  </si>
  <si>
    <t>LPT-PHS</t>
  </si>
  <si>
    <t>ตัวคูณ</t>
  </si>
  <si>
    <t xml:space="preserve">ส่วนต่างระหว่าง  </t>
  </si>
  <si>
    <t>เรทราคาน้ำมัน</t>
  </si>
  <si>
    <t>ประเภทรถ</t>
  </si>
  <si>
    <t xml:space="preserve"> 6W (Single)</t>
  </si>
  <si>
    <t xml:space="preserve"> 6W (Double )</t>
  </si>
  <si>
    <t xml:space="preserve">HDY-BKK </t>
  </si>
  <si>
    <t>BKK-URT</t>
  </si>
  <si>
    <t xml:space="preserve">URT-BKK </t>
  </si>
  <si>
    <t xml:space="preserve">BKK-HDY </t>
  </si>
  <si>
    <t xml:space="preserve">14W ( Double )  </t>
  </si>
  <si>
    <t>marjin</t>
  </si>
  <si>
    <t>ชื่อเส้นทาง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</si>
</sst>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000%"/>
    <numFmt numFmtId="188" formatCode="0.000%"/>
  </numFmts>
  <fonts count="15">
    <font>
      <sz val="10"/>
      <color rgb="FF000000"/>
      <name val="Arial"/>
      <scheme val="minor"/>
    </font>
    <font>
      <b/>
      <sz val="14"/>
      <color theme="1"/>
      <name val="Sarabun"/>
    </font>
    <font>
      <b/>
      <sz val="10"/>
      <color theme="1"/>
      <name val="Sarabun"/>
    </font>
    <font>
      <b/>
      <sz val="10"/>
      <color rgb="FF000000"/>
      <name val="Sarabun"/>
    </font>
    <font>
      <sz val="10"/>
      <color theme="1"/>
      <name val="Sarabun"/>
    </font>
    <font>
      <sz val="10"/>
      <color theme="1"/>
      <name val="Sarabun"/>
    </font>
    <font>
      <sz val="10"/>
      <color rgb="FF1F1F1F"/>
      <name val="Sarabun"/>
    </font>
    <font>
      <b/>
      <sz val="13"/>
      <color theme="1"/>
      <name val="Sarabun"/>
    </font>
    <font>
      <sz val="10"/>
      <color theme="1"/>
      <name val="Arial"/>
      <scheme val="minor"/>
    </font>
    <font>
      <b/>
      <sz val="12"/>
      <color theme="1"/>
      <name val="Sarabun"/>
    </font>
    <font>
      <b/>
      <sz val="12"/>
      <color rgb="FF000000"/>
      <name val="Sarabun"/>
    </font>
    <font>
      <b/>
      <sz val="12"/>
      <color rgb="FF1F1F1F"/>
      <name val="Sarabun"/>
    </font>
    <font>
      <sz val="10"/>
      <color rgb="FF000000"/>
      <name val="Sarabun"/>
    </font>
    <font>
      <b/>
      <sz val="10"/>
      <color rgb="FF1F1F1F"/>
      <name val="Sarabun"/>
    </font>
    <font>
      <sz val="10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rgb="FF00FF00"/>
      </patternFill>
    </fill>
    <fill>
      <patternFill patternType="solid">
        <fgColor theme="6"/>
        <bgColor rgb="FFFF9900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4" fillId="0" borderId="0"/>
  </cellStyleXfs>
  <cellXfs count="47">
    <xf numFmtId="0" fontId="0" fillId="0" borderId="0" xfId="0"/>
    <xf numFmtId="187" fontId="1" fillId="0" borderId="0" xfId="0" applyNumberFormat="1" applyFont="1"/>
    <xf numFmtId="188" fontId="1" fillId="0" borderId="0" xfId="0" applyNumberFormat="1" applyFont="1"/>
    <xf numFmtId="0" fontId="1" fillId="0" borderId="0" xfId="0" applyFont="1"/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188" fontId="7" fillId="5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0" fontId="9" fillId="0" borderId="0" xfId="0" applyNumberFormat="1" applyFont="1" applyAlignment="1">
      <alignment horizontal="center"/>
    </xf>
    <xf numFmtId="18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8" fillId="0" borderId="0" xfId="0" applyFont="1"/>
    <xf numFmtId="188" fontId="8" fillId="0" borderId="0" xfId="0" applyNumberFormat="1" applyFont="1"/>
    <xf numFmtId="9" fontId="8" fillId="0" borderId="0" xfId="0" applyNumberFormat="1" applyFont="1"/>
    <xf numFmtId="43" fontId="5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3" fontId="5" fillId="0" borderId="0" xfId="1" applyFont="1" applyAlignment="1">
      <alignment horizontal="center" vertical="center"/>
    </xf>
    <xf numFmtId="43" fontId="4" fillId="0" borderId="0" xfId="1" applyFont="1" applyAlignment="1">
      <alignment horizontal="center"/>
    </xf>
    <xf numFmtId="0" fontId="3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0" fillId="11" borderId="0" xfId="0" applyFill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sheetData>
    <row r="1" spans="1:27" ht="15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3" t="s">
        <v>0</v>
      </c>
      <c r="B2" s="2">
        <v>0.01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3" t="s">
        <v>1</v>
      </c>
      <c r="B3" s="2">
        <v>0.01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7.399999999999999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7.399999999999999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7.399999999999999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7.399999999999999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7.399999999999999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7.399999999999999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7.399999999999999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7.399999999999999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7.399999999999999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7.399999999999999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7.399999999999999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7.399999999999999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7.399999999999999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7.399999999999999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7.399999999999999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7.399999999999999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7.399999999999999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7.399999999999999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7.399999999999999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7.399999999999999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7.399999999999999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7.399999999999999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7.399999999999999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7.399999999999999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7.399999999999999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7.399999999999999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7.399999999999999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7.399999999999999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7.399999999999999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7.399999999999999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7.399999999999999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7.399999999999999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7.399999999999999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7.399999999999999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7.399999999999999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7.399999999999999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7.399999999999999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7.399999999999999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7.399999999999999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7.399999999999999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7.399999999999999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.399999999999999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7.399999999999999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7.399999999999999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7.399999999999999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7.399999999999999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7.399999999999999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7.399999999999999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7.399999999999999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7.399999999999999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7.399999999999999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7.399999999999999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7.399999999999999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7.399999999999999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7.399999999999999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7.399999999999999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7.399999999999999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7.399999999999999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7.399999999999999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7.399999999999999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7.399999999999999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7.399999999999999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7.399999999999999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7.399999999999999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7.399999999999999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7.399999999999999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7.399999999999999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7.399999999999999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7.399999999999999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7.399999999999999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7.399999999999999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7.399999999999999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7.399999999999999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7.399999999999999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7.399999999999999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7.399999999999999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7.399999999999999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7.399999999999999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.399999999999999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399999999999999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.399999999999999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7.399999999999999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.399999999999999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7.399999999999999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.399999999999999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7.399999999999999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7.399999999999999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7.399999999999999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7.399999999999999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7.399999999999999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7.399999999999999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7.399999999999999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7.399999999999999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7.399999999999999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7.399999999999999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7.399999999999999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7.399999999999999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7.399999999999999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7.399999999999999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7.399999999999999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7.399999999999999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7.399999999999999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7.399999999999999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7.399999999999999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7.399999999999999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7.399999999999999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7.399999999999999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7.399999999999999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7.399999999999999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7.399999999999999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7.399999999999999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7.399999999999999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7.399999999999999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7.399999999999999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7.399999999999999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7.399999999999999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7.399999999999999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7.399999999999999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7.399999999999999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7.399999999999999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7.399999999999999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7.399999999999999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7.399999999999999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7.399999999999999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7.399999999999999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7.399999999999999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7.399999999999999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7.399999999999999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7.399999999999999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7.399999999999999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7.399999999999999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7.399999999999999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7.399999999999999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7.399999999999999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7.399999999999999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7.399999999999999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7.399999999999999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7.399999999999999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7.399999999999999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7.399999999999999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7.399999999999999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7.399999999999999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7.399999999999999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7.399999999999999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7.399999999999999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7.399999999999999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7.399999999999999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7.399999999999999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7.399999999999999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7.399999999999999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7.399999999999999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7.399999999999999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7.399999999999999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7.399999999999999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7.399999999999999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7.399999999999999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7.399999999999999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7.399999999999999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7.399999999999999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7.399999999999999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7.399999999999999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7.399999999999999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7.399999999999999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7.399999999999999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7.399999999999999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7.399999999999999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7.399999999999999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7.399999999999999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7.399999999999999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7.399999999999999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7.399999999999999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7.399999999999999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7.399999999999999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7.399999999999999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7.399999999999999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7.399999999999999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7.399999999999999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7.399999999999999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7.399999999999999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7.399999999999999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7.399999999999999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7.399999999999999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7.399999999999999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7.399999999999999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7.399999999999999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7.399999999999999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7.399999999999999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7.399999999999999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7.399999999999999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7.399999999999999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7.399999999999999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7.399999999999999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7.399999999999999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7.399999999999999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7.399999999999999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7.399999999999999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7.399999999999999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7.399999999999999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7.399999999999999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7.399999999999999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7.399999999999999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7.399999999999999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7.399999999999999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7.399999999999999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7.399999999999999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7.399999999999999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7.399999999999999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7.399999999999999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7.399999999999999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7.399999999999999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7.399999999999999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7.399999999999999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7.399999999999999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7.399999999999999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7.399999999999999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7.399999999999999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7.399999999999999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7.399999999999999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7.399999999999999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7.399999999999999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7.399999999999999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7.399999999999999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7.399999999999999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7.399999999999999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7.399999999999999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7.399999999999999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7.399999999999999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7.399999999999999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7.399999999999999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7.399999999999999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7.399999999999999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7.399999999999999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7.399999999999999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7.399999999999999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7.399999999999999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7.399999999999999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7.399999999999999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7.399999999999999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7.399999999999999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7.399999999999999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7.399999999999999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7.399999999999999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7.399999999999999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7.399999999999999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7.399999999999999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7.399999999999999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7.399999999999999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7.399999999999999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7.399999999999999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7.399999999999999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7.399999999999999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7.399999999999999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7.399999999999999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7.399999999999999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7.399999999999999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7.399999999999999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7.399999999999999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7.399999999999999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7.399999999999999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7.399999999999999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7.399999999999999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7.399999999999999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7.399999999999999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7.399999999999999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7.399999999999999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7.399999999999999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7.399999999999999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7.399999999999999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7.399999999999999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7.399999999999999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7.399999999999999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7.399999999999999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7.399999999999999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7.399999999999999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7.399999999999999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7.399999999999999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7.399999999999999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7.399999999999999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7.399999999999999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7.399999999999999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7.399999999999999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7.399999999999999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7.399999999999999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7.399999999999999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7.399999999999999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7.399999999999999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7.399999999999999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7.399999999999999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7.399999999999999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7.399999999999999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7.399999999999999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7.399999999999999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7.399999999999999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7.399999999999999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7.399999999999999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7.399999999999999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7.399999999999999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7.399999999999999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7.399999999999999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7.399999999999999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7.399999999999999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7.399999999999999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7.399999999999999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7.399999999999999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7.399999999999999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7.399999999999999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7.399999999999999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7.399999999999999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7.399999999999999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7.399999999999999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7.399999999999999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7.399999999999999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7.399999999999999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7.399999999999999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7.399999999999999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7.399999999999999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7.399999999999999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7.399999999999999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7.399999999999999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7.399999999999999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7.399999999999999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7.399999999999999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7.399999999999999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7.399999999999999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7.399999999999999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7.399999999999999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7.399999999999999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7.399999999999999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7.399999999999999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7.399999999999999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7.399999999999999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7.399999999999999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7.399999999999999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7.399999999999999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7.399999999999999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7.399999999999999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7.399999999999999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7.399999999999999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7.399999999999999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7.399999999999999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7.399999999999999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7.399999999999999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7.399999999999999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7.399999999999999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7.399999999999999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7.399999999999999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7.399999999999999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7.399999999999999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7.399999999999999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7.399999999999999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7.399999999999999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7.399999999999999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7.399999999999999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7.399999999999999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7.399999999999999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7.399999999999999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7.399999999999999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7.399999999999999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7.399999999999999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7.399999999999999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7.399999999999999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7.399999999999999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7.399999999999999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7.399999999999999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7.399999999999999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7.399999999999999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7.399999999999999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7.399999999999999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7.399999999999999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7.399999999999999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7.399999999999999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7.399999999999999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7.399999999999999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7.399999999999999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7.399999999999999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7.399999999999999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7.399999999999999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7.399999999999999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7.399999999999999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7.399999999999999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7.399999999999999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7.399999999999999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7.399999999999999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7.399999999999999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7.399999999999999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7.399999999999999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7.399999999999999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7.399999999999999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7.399999999999999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7.399999999999999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7.399999999999999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7.399999999999999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7.399999999999999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7.399999999999999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7.399999999999999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7.399999999999999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7.399999999999999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7.399999999999999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7.399999999999999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7.399999999999999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7.399999999999999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7.399999999999999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7.399999999999999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7.399999999999999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7.399999999999999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7.399999999999999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7.399999999999999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7.399999999999999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7.399999999999999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7.399999999999999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7.399999999999999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7.399999999999999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7.399999999999999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7.399999999999999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7.399999999999999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7.399999999999999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7.399999999999999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7.399999999999999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7.399999999999999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7.399999999999999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7.399999999999999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7.399999999999999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7.399999999999999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7.399999999999999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7.399999999999999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7.399999999999999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7.399999999999999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7.399999999999999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7.399999999999999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7.399999999999999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7.399999999999999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7.399999999999999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7.399999999999999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7.399999999999999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7.399999999999999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7.399999999999999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7.399999999999999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7.399999999999999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7.399999999999999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7.399999999999999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7.399999999999999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7.399999999999999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7.399999999999999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7.399999999999999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7.399999999999999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7.399999999999999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7.399999999999999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7.399999999999999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7.399999999999999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7.399999999999999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7.399999999999999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7.399999999999999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7.399999999999999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7.399999999999999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7.399999999999999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7.399999999999999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7.399999999999999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7.399999999999999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7.399999999999999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7.399999999999999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7.399999999999999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7.399999999999999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7.399999999999999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7.399999999999999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7.399999999999999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7.399999999999999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7.399999999999999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7.399999999999999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7.399999999999999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7.399999999999999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7.399999999999999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7.399999999999999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7.399999999999999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7.399999999999999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7.399999999999999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7.399999999999999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7.399999999999999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7.399999999999999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7.399999999999999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7.399999999999999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7.399999999999999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7.399999999999999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7.399999999999999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7.399999999999999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7.399999999999999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7.399999999999999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7.399999999999999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7.399999999999999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7.399999999999999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7.399999999999999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7.399999999999999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7.399999999999999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7.399999999999999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7.399999999999999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7.399999999999999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7.399999999999999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7.399999999999999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7.399999999999999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7.399999999999999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7.399999999999999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7.399999999999999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7.399999999999999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7.399999999999999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7.399999999999999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7.399999999999999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7.399999999999999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7.399999999999999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7.399999999999999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7.399999999999999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7.399999999999999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7.399999999999999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7.399999999999999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7.399999999999999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7.399999999999999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7.399999999999999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7.399999999999999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7.399999999999999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7.399999999999999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7.399999999999999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7.399999999999999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7.399999999999999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7.399999999999999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7.399999999999999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7.399999999999999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7.399999999999999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7.399999999999999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7.399999999999999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7.399999999999999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7.399999999999999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7.399999999999999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7.399999999999999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7.399999999999999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7.399999999999999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7.399999999999999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7.399999999999999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7.399999999999999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7.399999999999999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7.399999999999999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7.399999999999999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7.399999999999999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7.399999999999999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7.399999999999999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7.399999999999999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7.399999999999999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7.399999999999999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7.399999999999999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7.399999999999999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7.399999999999999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7.399999999999999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7.399999999999999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7.399999999999999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7.399999999999999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7.399999999999999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7.399999999999999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7.399999999999999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7.399999999999999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7.399999999999999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7.399999999999999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7.399999999999999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7.399999999999999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7.399999999999999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7.399999999999999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7.399999999999999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7.399999999999999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7.399999999999999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7.399999999999999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7.399999999999999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7.399999999999999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7.399999999999999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7.399999999999999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7.399999999999999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7.399999999999999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7.399999999999999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7.399999999999999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7.399999999999999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7.399999999999999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7.399999999999999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7.399999999999999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7.399999999999999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7.399999999999999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7.399999999999999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7.399999999999999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7.399999999999999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7.399999999999999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7.399999999999999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7.399999999999999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7.399999999999999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7.399999999999999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7.399999999999999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7.399999999999999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7.399999999999999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7.399999999999999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7.399999999999999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7.399999999999999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7.399999999999999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7.399999999999999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7.399999999999999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7.399999999999999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7.399999999999999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7.399999999999999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7.399999999999999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7.399999999999999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7.399999999999999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7.399999999999999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7.399999999999999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7.399999999999999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7.399999999999999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7.399999999999999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7.399999999999999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7.399999999999999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7.399999999999999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7.399999999999999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7.399999999999999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7.399999999999999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7.399999999999999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7.399999999999999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7.399999999999999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7.399999999999999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7.399999999999999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7.399999999999999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7.399999999999999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7.399999999999999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7.399999999999999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7.399999999999999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7.399999999999999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7.399999999999999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7.399999999999999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7.399999999999999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7.399999999999999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7.399999999999999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7.399999999999999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7.399999999999999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7.399999999999999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7.399999999999999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7.399999999999999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7.399999999999999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7.399999999999999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7.399999999999999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7.399999999999999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7.399999999999999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7.399999999999999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7.399999999999999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7.399999999999999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7.399999999999999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7.399999999999999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7.399999999999999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7.399999999999999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7.399999999999999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7.399999999999999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7.399999999999999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7.399999999999999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7.399999999999999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7.399999999999999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7.399999999999999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7.399999999999999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7.399999999999999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7.399999999999999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7.399999999999999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7.399999999999999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7.399999999999999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7.399999999999999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7.399999999999999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7.399999999999999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7.399999999999999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7.399999999999999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7.399999999999999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7.399999999999999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7.399999999999999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7.399999999999999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7.399999999999999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7.399999999999999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7.399999999999999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7.399999999999999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7.399999999999999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7.399999999999999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7.399999999999999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7.399999999999999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7.399999999999999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7.399999999999999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7.399999999999999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7.399999999999999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7.399999999999999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7.399999999999999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7.399999999999999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7.399999999999999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7.399999999999999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7.399999999999999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7.399999999999999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7.399999999999999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7.399999999999999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7.399999999999999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7.399999999999999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7.399999999999999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7.399999999999999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7.399999999999999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7.399999999999999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7.399999999999999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7.399999999999999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7.399999999999999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7.399999999999999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7.399999999999999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7.399999999999999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7.399999999999999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7.399999999999999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7.399999999999999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7.399999999999999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7.399999999999999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7.399999999999999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7.399999999999999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7.399999999999999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7.399999999999999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7.399999999999999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7.399999999999999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7.399999999999999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7.399999999999999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7.399999999999999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7.399999999999999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7.399999999999999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7.399999999999999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7.399999999999999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7.399999999999999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7.399999999999999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7.399999999999999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7.399999999999999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7.399999999999999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7.399999999999999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7.399999999999999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7.399999999999999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7.399999999999999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7.399999999999999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7.399999999999999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7.399999999999999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7.399999999999999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7.399999999999999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7.399999999999999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7.399999999999999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7.399999999999999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7.399999999999999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7.399999999999999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7.399999999999999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7.399999999999999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7.399999999999999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7.399999999999999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7.399999999999999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7.399999999999999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7.399999999999999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7.399999999999999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7.399999999999999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7.399999999999999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7.399999999999999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7.399999999999999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7.399999999999999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7.399999999999999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7.399999999999999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7.399999999999999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7.399999999999999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7.399999999999999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7.399999999999999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7.399999999999999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7.399999999999999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7.399999999999999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7.399999999999999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7.399999999999999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7.399999999999999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7.399999999999999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7.399999999999999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7.399999999999999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7.399999999999999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7.399999999999999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7.399999999999999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7.399999999999999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7.399999999999999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7.399999999999999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7.399999999999999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7.399999999999999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7.399999999999999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7.399999999999999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7.399999999999999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7.399999999999999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7.399999999999999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7.399999999999999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7.399999999999999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7.399999999999999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7.399999999999999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7.399999999999999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7.399999999999999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7.399999999999999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7.399999999999999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7.399999999999999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7.399999999999999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7.399999999999999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7.399999999999999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7.399999999999999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7.399999999999999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7.399999999999999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7.399999999999999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7.399999999999999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7.399999999999999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7.399999999999999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7.399999999999999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7.399999999999999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7.399999999999999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7.399999999999999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7.399999999999999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7.399999999999999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7.399999999999999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7.399999999999999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7.399999999999999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7.399999999999999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7.399999999999999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7.399999999999999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7.399999999999999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7.399999999999999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7.399999999999999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7.399999999999999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7.399999999999999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7.399999999999999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7.399999999999999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7.399999999999999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7.399999999999999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7.399999999999999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7.399999999999999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7.399999999999999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7.399999999999999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7.399999999999999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7.399999999999999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7.399999999999999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7.399999999999999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7.399999999999999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7.399999999999999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7.399999999999999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7.399999999999999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7.399999999999999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7.399999999999999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7.399999999999999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7.399999999999999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7.399999999999999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7.399999999999999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7.399999999999999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7.399999999999999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7.399999999999999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7.399999999999999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7.399999999999999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7.399999999999999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7.399999999999999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7.399999999999999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7.399999999999999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7.399999999999999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7.399999999999999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7.399999999999999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7.399999999999999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7.399999999999999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7.399999999999999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7.399999999999999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7.399999999999999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7.399999999999999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7.399999999999999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7.399999999999999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7.399999999999999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7.399999999999999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7.399999999999999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7.399999999999999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7.399999999999999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7.399999999999999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7.399999999999999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7.399999999999999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7.399999999999999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7.399999999999999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7.399999999999999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7.399999999999999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7.399999999999999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7.399999999999999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7.399999999999999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7.399999999999999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7.399999999999999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7.399999999999999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7.399999999999999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7.399999999999999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7.399999999999999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7.399999999999999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7.399999999999999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7.399999999999999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7.399999999999999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7.399999999999999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7.399999999999999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7.399999999999999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7.399999999999999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7.399999999999999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7.399999999999999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7.399999999999999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7.399999999999999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7.399999999999999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7.399999999999999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7.399999999999999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7.399999999999999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7.399999999999999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7.399999999999999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7.399999999999999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7.399999999999999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7.399999999999999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7.399999999999999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7.399999999999999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7.399999999999999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7.399999999999999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7.399999999999999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7.399999999999999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7.399999999999999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7.399999999999999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7.399999999999999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7.399999999999999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7.399999999999999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7.399999999999999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7.399999999999999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7.399999999999999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7.399999999999999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7.399999999999999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7.399999999999999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7.399999999999999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7.399999999999999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7.399999999999999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7.399999999999999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7.399999999999999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7.399999999999999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7.399999999999999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7.399999999999999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7.399999999999999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7.399999999999999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7.399999999999999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7.399999999999999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7.399999999999999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7.399999999999999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7.399999999999999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7.399999999999999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7.399999999999999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7.399999999999999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7.399999999999999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7.399999999999999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7.399999999999999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7.399999999999999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7.399999999999999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7.399999999999999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7.399999999999999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7.399999999999999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7.399999999999999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7.399999999999999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7.399999999999999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7.399999999999999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7.399999999999999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7.399999999999999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7.399999999999999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7.399999999999999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7.399999999999999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7.399999999999999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7.399999999999999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7.399999999999999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7.399999999999999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7.399999999999999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7.399999999999999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7.399999999999999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7.399999999999999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7.399999999999999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7.399999999999999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7.399999999999999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7.399999999999999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7.399999999999999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7.399999999999999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7.399999999999999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7.399999999999999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7.399999999999999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7.399999999999999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7.399999999999999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7.399999999999999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7.399999999999999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7.399999999999999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M990"/>
  <sheetViews>
    <sheetView workbookViewId="0"/>
  </sheetViews>
  <sheetFormatPr defaultColWidth="12.6640625" defaultRowHeight="15.75" customHeight="1"/>
  <cols>
    <col min="1" max="1" width="16.88671875" customWidth="1"/>
    <col min="2" max="2" width="8.6640625" customWidth="1"/>
    <col min="3" max="3" width="11.6640625" customWidth="1"/>
    <col min="4" max="72" width="9.77734375" customWidth="1"/>
    <col min="73" max="73" width="10.6640625" customWidth="1"/>
    <col min="74" max="91" width="11.6640625" customWidth="1"/>
  </cols>
  <sheetData>
    <row r="1" spans="1:91" ht="13.2">
      <c r="A1" s="4">
        <f>ตัวคูณ!B2</f>
        <v>0.01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</row>
    <row r="2" spans="1:91" ht="13.2">
      <c r="A2" s="7" t="s">
        <v>2</v>
      </c>
      <c r="B2" s="7">
        <v>33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9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8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56</v>
      </c>
      <c r="BE2" s="8" t="s">
        <v>57</v>
      </c>
      <c r="BF2" s="8" t="s">
        <v>58</v>
      </c>
      <c r="BG2" s="8" t="s">
        <v>59</v>
      </c>
      <c r="BH2" s="8" t="s">
        <v>60</v>
      </c>
      <c r="BI2" s="8" t="s">
        <v>61</v>
      </c>
      <c r="BJ2" s="8" t="s">
        <v>62</v>
      </c>
      <c r="BK2" s="8" t="s">
        <v>63</v>
      </c>
      <c r="BL2" s="8" t="s">
        <v>64</v>
      </c>
      <c r="BM2" s="8" t="s">
        <v>65</v>
      </c>
      <c r="BN2" s="8" t="s">
        <v>66</v>
      </c>
      <c r="BO2" s="8" t="s">
        <v>67</v>
      </c>
      <c r="BP2" s="8" t="s">
        <v>68</v>
      </c>
      <c r="BQ2" s="8" t="s">
        <v>69</v>
      </c>
      <c r="BR2" s="8" t="s">
        <v>70</v>
      </c>
      <c r="BS2" s="8" t="s">
        <v>71</v>
      </c>
      <c r="BT2" s="8" t="s">
        <v>72</v>
      </c>
      <c r="BU2" s="8" t="s">
        <v>73</v>
      </c>
      <c r="BV2" s="8" t="s">
        <v>74</v>
      </c>
      <c r="BW2" s="8" t="s">
        <v>75</v>
      </c>
      <c r="BX2" s="8" t="s">
        <v>76</v>
      </c>
      <c r="BY2" s="8" t="s">
        <v>77</v>
      </c>
      <c r="BZ2" s="8" t="s">
        <v>78</v>
      </c>
      <c r="CA2" s="8" t="s">
        <v>79</v>
      </c>
      <c r="CB2" s="8" t="s">
        <v>80</v>
      </c>
      <c r="CC2" s="8" t="s">
        <v>81</v>
      </c>
      <c r="CD2" s="8" t="s">
        <v>82</v>
      </c>
      <c r="CE2" s="8" t="s">
        <v>83</v>
      </c>
      <c r="CF2" s="8" t="s">
        <v>84</v>
      </c>
      <c r="CG2" s="8" t="s">
        <v>85</v>
      </c>
      <c r="CH2" s="8" t="s">
        <v>86</v>
      </c>
      <c r="CI2" s="8" t="s">
        <v>87</v>
      </c>
      <c r="CJ2" s="8" t="s">
        <v>88</v>
      </c>
      <c r="CK2" s="8" t="s">
        <v>89</v>
      </c>
      <c r="CL2" s="8" t="s">
        <v>90</v>
      </c>
      <c r="CM2" s="8" t="s">
        <v>91</v>
      </c>
    </row>
    <row r="3" spans="1:91" ht="13.2">
      <c r="A3" s="10" t="s">
        <v>92</v>
      </c>
      <c r="B3" s="11">
        <v>12300</v>
      </c>
      <c r="C3" s="12">
        <f>(B3*4%)+B3</f>
        <v>12792</v>
      </c>
      <c r="D3" s="12">
        <f>(C3*ตัวคูณ!$B$2)+C3</f>
        <v>12919.92</v>
      </c>
      <c r="E3" s="12">
        <f>(D3*ตัวคูณ!$B$2)+D3</f>
        <v>13049.119199999999</v>
      </c>
      <c r="F3" s="12">
        <f>(E3*ตัวคูณ!$B$2)+E3</f>
        <v>13179.610391999999</v>
      </c>
      <c r="G3" s="12">
        <f>(F3*ตัวคูณ!$B$2)+F3</f>
        <v>13311.406495919999</v>
      </c>
      <c r="H3" s="12">
        <f>(G3*ตัวคูณ!$B$2)+G3</f>
        <v>13444.520560879198</v>
      </c>
      <c r="I3" s="12">
        <f>(H3*ตัวคูณ!$B$2)+H3</f>
        <v>13578.965766487991</v>
      </c>
      <c r="J3" s="12">
        <f>(I3*ตัวคูณ!$B$2)+I3</f>
        <v>13714.755424152871</v>
      </c>
      <c r="K3" s="12">
        <f>(J3*ตัวคูณ!$B$2)+J3</f>
        <v>13851.902978394399</v>
      </c>
      <c r="L3" s="12">
        <f>(K3*ตัวคูณ!$B$2)+K3</f>
        <v>13990.422008178342</v>
      </c>
      <c r="M3" s="13">
        <f>(L3*ตัวคูณ!$B$2)+L3</f>
        <v>14130.326228260126</v>
      </c>
      <c r="N3" s="12">
        <f>(M3*ตัวคูณ!$B$2)+M3</f>
        <v>14271.629490542728</v>
      </c>
      <c r="O3" s="12">
        <f>(N3*ตัวคูณ!$B$2)+N3</f>
        <v>14414.345785448155</v>
      </c>
      <c r="P3" s="12">
        <f>(O3*ตัวคูณ!$B$2)+O3</f>
        <v>14558.489243302636</v>
      </c>
      <c r="Q3" s="12">
        <f>(P3*ตัวคูณ!$B$2)+P3</f>
        <v>14704.074135735662</v>
      </c>
      <c r="R3" s="12">
        <f>(Q3*ตัวคูณ!$B$2)+Q3</f>
        <v>14851.114877093018</v>
      </c>
      <c r="S3" s="12">
        <f>(R3*ตัวคูณ!$B$2)+R3</f>
        <v>14999.626025863949</v>
      </c>
      <c r="T3" s="12">
        <f>(S3*ตัวคูณ!$B$2)+S3</f>
        <v>15149.622286122589</v>
      </c>
      <c r="U3" s="12">
        <f>(T3*ตัวคูณ!$B$2)+T3</f>
        <v>15301.118508983815</v>
      </c>
      <c r="V3" s="12">
        <f>(U3*ตัวคูณ!$B$2)+U3</f>
        <v>15454.129694073652</v>
      </c>
      <c r="W3" s="12">
        <f>(V3*ตัวคูณ!$B$2)+V3</f>
        <v>15608.670991014389</v>
      </c>
      <c r="X3" s="12">
        <f>(W3*ตัวคูณ!$B$2)+W3</f>
        <v>15764.757700924532</v>
      </c>
      <c r="Y3" s="12">
        <f>(X3*ตัวคูณ!$B$2)+X3</f>
        <v>15922.405277933778</v>
      </c>
      <c r="Z3" s="12">
        <f>(Y3*ตัวคูณ!$B$2)+Y3</f>
        <v>16081.629330713116</v>
      </c>
      <c r="AA3" s="12">
        <f>(Z3*ตัวคูณ!$B$2)+Z3</f>
        <v>16242.445624020247</v>
      </c>
      <c r="AB3" s="12">
        <f>(AA3*ตัวคูณ!$B$2)+AA3</f>
        <v>16404.870080260451</v>
      </c>
      <c r="AC3" s="12">
        <f>(AB3*ตัวคูณ!$B$2)+AB3</f>
        <v>16568.918781063054</v>
      </c>
      <c r="AD3" s="12">
        <f>(AC3*ตัวคูณ!$B$2)+AC3</f>
        <v>16734.607968873683</v>
      </c>
      <c r="AE3" s="12">
        <f>(AD3*ตัวคูณ!$B$2)+AD3</f>
        <v>16901.95404856242</v>
      </c>
      <c r="AF3" s="12">
        <f>(AE3*ตัวคูณ!$B$2)+AE3</f>
        <v>17070.973589048044</v>
      </c>
      <c r="AG3" s="12">
        <f>(AF3*ตัวคูณ!$B$2)+AF3</f>
        <v>17241.683324938524</v>
      </c>
      <c r="AH3" s="12">
        <f>(AG3*ตัวคูณ!$B$2)+AG3</f>
        <v>17414.10015818791</v>
      </c>
      <c r="AI3" s="12">
        <f>(AH3*ตัวคูณ!$B$2)+AH3</f>
        <v>17588.24115976979</v>
      </c>
      <c r="AJ3" s="12">
        <f>(AI3*ตัวคูณ!$B$2)+AI3</f>
        <v>17764.123571367487</v>
      </c>
      <c r="AK3" s="12">
        <f>(AJ3*ตัวคูณ!$B$2)+AJ3</f>
        <v>17941.764807081163</v>
      </c>
      <c r="AL3" s="12">
        <f>(AK3*ตัวคูณ!$B$2)+AK3</f>
        <v>18121.182455151975</v>
      </c>
      <c r="AM3" s="12">
        <f>(AL3*ตัวคูณ!$B$2)+AL3</f>
        <v>18302.394279703494</v>
      </c>
      <c r="AN3" s="12">
        <f>(AM3*ตัวคูณ!$B$2)+AM3</f>
        <v>18485.418222500528</v>
      </c>
      <c r="AO3" s="12">
        <f>(AN3*ตัวคูณ!$B$2)+AN3</f>
        <v>18670.272404725532</v>
      </c>
      <c r="AP3" s="12">
        <f>(AO3*ตัวคูณ!$B$2)+AO3</f>
        <v>18856.975128772789</v>
      </c>
      <c r="AQ3" s="12">
        <f>(AP3*ตัวคูณ!$B$2)+AP3</f>
        <v>19045.544880060515</v>
      </c>
      <c r="AR3" s="12">
        <f>(AQ3*ตัวคูณ!$B$2)+AQ3</f>
        <v>19236.000328861119</v>
      </c>
      <c r="AS3" s="12">
        <f>(AR3*ตัวคูณ!$B$2)+AR3</f>
        <v>19428.360332149728</v>
      </c>
      <c r="AT3" s="12">
        <f>(AS3*ตัวคูณ!$B$2)+AS3</f>
        <v>19622.643935471227</v>
      </c>
      <c r="AU3" s="12">
        <f>(AT3*ตัวคูณ!$B$2)+AT3</f>
        <v>19818.87037482594</v>
      </c>
      <c r="AV3" s="12">
        <f>(AU3*ตัวคูณ!$B$2)+AU3</f>
        <v>20017.059078574199</v>
      </c>
      <c r="AW3" s="12">
        <f>(AV3*ตัวคูณ!$B$2)+AV3</f>
        <v>20217.229669359942</v>
      </c>
      <c r="AX3" s="12">
        <f>(AW3*ตัวคูณ!$B$2)+AW3</f>
        <v>20419.401966053541</v>
      </c>
      <c r="AY3" s="12">
        <f>(AX3*ตัวคูณ!$B$2)+AX3</f>
        <v>20623.595985714077</v>
      </c>
      <c r="AZ3" s="12">
        <f>(AY3*ตัวคูณ!$B$2)+AY3</f>
        <v>20829.831945571219</v>
      </c>
      <c r="BA3" s="12">
        <f>(AZ3*ตัวคูณ!$B$2)+AZ3</f>
        <v>21038.130265026932</v>
      </c>
      <c r="BB3" s="12">
        <f>(BA3*ตัวคูณ!$B$2)+BA3</f>
        <v>21248.5115676772</v>
      </c>
      <c r="BC3" s="12">
        <f>(BB3*ตัวคูณ!$B$2)+BB3</f>
        <v>21460.996683353973</v>
      </c>
      <c r="BD3" s="12">
        <f>(BC3*ตัวคูณ!$B$2)+BC3</f>
        <v>21675.606650187514</v>
      </c>
      <c r="BE3" s="12">
        <f>(BD3*ตัวคูณ!$B$2)+BD3</f>
        <v>21892.362716689389</v>
      </c>
      <c r="BF3" s="12">
        <f>(BE3*ตัวคูณ!$B$2)+BE3</f>
        <v>22111.286343856282</v>
      </c>
      <c r="BG3" s="12">
        <f>(BF3*ตัวคูณ!$B$2)+BF3</f>
        <v>22332.399207294846</v>
      </c>
      <c r="BH3" s="12">
        <f>(BG3*ตัวคูณ!$B$2)+BG3</f>
        <v>22555.723199367796</v>
      </c>
      <c r="BI3" s="12">
        <f>(BH3*ตัวคูณ!$B$2)+BH3</f>
        <v>22781.280431361472</v>
      </c>
      <c r="BJ3" s="12">
        <f>(BI3*ตัวคูณ!$B$2)+BI3</f>
        <v>23009.093235675085</v>
      </c>
      <c r="BK3" s="12">
        <f>(BJ3*ตัวคูณ!$B$2)+BJ3</f>
        <v>23239.184168031836</v>
      </c>
      <c r="BL3" s="12">
        <f>(BK3*ตัวคูณ!$B$2)+BK3</f>
        <v>23471.576009712153</v>
      </c>
      <c r="BM3" s="12">
        <f>(BL3*ตัวคูณ!$B$2)+BL3</f>
        <v>23706.291769809275</v>
      </c>
      <c r="BN3" s="12">
        <f>(BM3*ตัวคูณ!$B$2)+BM3</f>
        <v>23943.354687507366</v>
      </c>
      <c r="BO3" s="12">
        <f>(BN3*ตัวคูณ!$B$2)+BN3</f>
        <v>24182.788234382439</v>
      </c>
      <c r="BP3" s="12">
        <f>(BO3*ตัวคูณ!$B$2)+BO3</f>
        <v>24424.616116726262</v>
      </c>
      <c r="BQ3" s="12">
        <f>(BP3*ตัวคูณ!$B$2)+BP3</f>
        <v>24668.862277893524</v>
      </c>
      <c r="BR3" s="12">
        <f>(BQ3*ตัวคูณ!$B$2)+BQ3</f>
        <v>24915.550900672461</v>
      </c>
      <c r="BS3" s="12">
        <f>(BR3*ตัวคูณ!$B$2)+BR3</f>
        <v>25164.706409679184</v>
      </c>
      <c r="BT3" s="12">
        <f>(BS3*ตัวคูณ!$B$2)+BS3</f>
        <v>25416.353473775976</v>
      </c>
      <c r="BU3" s="12">
        <f>(BT3*ตัวคูณ!$B$2)+BT3</f>
        <v>25670.517008513736</v>
      </c>
      <c r="BV3" s="12">
        <f>(BU3*ตัวคูณ!$B$2)+BU3</f>
        <v>25927.222178598873</v>
      </c>
      <c r="BW3" s="12">
        <f>(BV3*ตัวคูณ!$B$2)+BV3</f>
        <v>26186.494400384861</v>
      </c>
      <c r="BX3" s="12">
        <f>(BW3*ตัวคูณ!$B$2)+BW3</f>
        <v>26448.359344388711</v>
      </c>
      <c r="BY3" s="12">
        <f>(BX3*ตัวคูณ!$B$2)+BX3</f>
        <v>26712.8429378326</v>
      </c>
      <c r="BZ3" s="12">
        <f>(BY3*ตัวคูณ!$B$2)+BY3</f>
        <v>26979.971367210925</v>
      </c>
      <c r="CA3" s="12">
        <f>(BZ3*ตัวคูณ!$B$2)+BZ3</f>
        <v>27249.771080883034</v>
      </c>
      <c r="CB3" s="12">
        <f>(CA3*ตัวคูณ!$B$2)+CA3</f>
        <v>27522.268791691866</v>
      </c>
      <c r="CC3" s="12">
        <f>(CB3*ตัวคูณ!$B$2)+CB3</f>
        <v>27797.491479608783</v>
      </c>
      <c r="CD3" s="12">
        <f>(CC3*ตัวคูณ!$B$2)+CC3</f>
        <v>28075.46639440487</v>
      </c>
      <c r="CE3" s="12">
        <f>(CD3*ตัวคูณ!$B$2)+CD3</f>
        <v>28356.221058348918</v>
      </c>
      <c r="CF3" s="12">
        <f>(CE3*ตัวคูณ!$B$2)+CE3</f>
        <v>28639.783268932406</v>
      </c>
      <c r="CG3" s="12">
        <f>(CF3*ตัวคูณ!$B$2)+CF3</f>
        <v>28926.181101621729</v>
      </c>
      <c r="CH3" s="12">
        <f>(CG3*ตัวคูณ!$B$2)+CG3</f>
        <v>29215.442912637947</v>
      </c>
      <c r="CI3" s="12">
        <f>(CH3*ตัวคูณ!$B$2)+CH3</f>
        <v>29507.597341764325</v>
      </c>
      <c r="CJ3" s="12">
        <f>(CI3*ตัวคูณ!$B$2)+CI3</f>
        <v>29802.673315181968</v>
      </c>
      <c r="CK3" s="12">
        <f>(CJ3*ตัวคูณ!$B$2)+CJ3</f>
        <v>30100.700048333787</v>
      </c>
      <c r="CL3" s="12">
        <f>(CK3*ตัวคูณ!$B$2)+CK3</f>
        <v>30401.707048817127</v>
      </c>
      <c r="CM3" s="12">
        <f>(CL3*ตัวคูณ!$B$2)+CL3</f>
        <v>30705.724119305298</v>
      </c>
    </row>
    <row r="4" spans="1:91" ht="13.2">
      <c r="A4" s="10" t="s">
        <v>93</v>
      </c>
      <c r="B4" s="11">
        <v>9000</v>
      </c>
      <c r="C4" s="12">
        <f>(B4*4%)+B4</f>
        <v>9360</v>
      </c>
      <c r="D4" s="12">
        <f>(C4*ตัวคูณ!$B$2)+C4</f>
        <v>9453.6</v>
      </c>
      <c r="E4" s="12">
        <f>(D4*ตัวคูณ!$B$2)+D4</f>
        <v>9548.1360000000004</v>
      </c>
      <c r="F4" s="12">
        <f>(E4*ตัวคูณ!$B$2)+E4</f>
        <v>9643.6173600000002</v>
      </c>
      <c r="G4" s="12">
        <f>(F4*ตัวคูณ!$B$2)+F4</f>
        <v>9740.0535335999994</v>
      </c>
      <c r="H4" s="12">
        <f>(G4*ตัวคูณ!$B$2)+G4</f>
        <v>9837.4540689360001</v>
      </c>
      <c r="I4" s="12">
        <f>(H4*ตัวคูณ!$B$2)+H4</f>
        <v>9935.8286096253596</v>
      </c>
      <c r="J4" s="12">
        <f>(I4*ตัวคูณ!$B$2)+I4</f>
        <v>10035.186895721614</v>
      </c>
      <c r="K4" s="12">
        <f>(J4*ตัวคูณ!$B$2)+J4</f>
        <v>10135.538764678829</v>
      </c>
      <c r="L4" s="12">
        <f>(K4*ตัวคูณ!$B$2)+K4</f>
        <v>10236.894152325618</v>
      </c>
      <c r="M4" s="13">
        <f>(L4*ตัวคูณ!$B$2)+L4</f>
        <v>10339.263093848875</v>
      </c>
      <c r="N4" s="12">
        <f>(M4*ตัวคูณ!$B$2)+M4</f>
        <v>10442.655724787362</v>
      </c>
      <c r="O4" s="12">
        <f>(N4*ตัวคูณ!$B$2)+N4</f>
        <v>10547.082282035237</v>
      </c>
      <c r="P4" s="12">
        <f>(O4*ตัวคูณ!$B$2)+O4</f>
        <v>10652.553104855589</v>
      </c>
      <c r="Q4" s="12">
        <f>(P4*ตัวคูณ!$B$2)+P4</f>
        <v>10759.078635904145</v>
      </c>
      <c r="R4" s="12">
        <f>(Q4*ตัวคูณ!$B$2)+Q4</f>
        <v>10866.669422263187</v>
      </c>
      <c r="S4" s="12">
        <f>(R4*ตัวคูณ!$B$2)+R4</f>
        <v>10975.336116485818</v>
      </c>
      <c r="T4" s="12">
        <f>(S4*ตัวคูณ!$B$2)+S4</f>
        <v>11085.089477650676</v>
      </c>
      <c r="U4" s="12">
        <f>(T4*ตัวคูณ!$B$2)+T4</f>
        <v>11195.940372427183</v>
      </c>
      <c r="V4" s="12">
        <f>(U4*ตัวคูณ!$B$2)+U4</f>
        <v>11307.899776151455</v>
      </c>
      <c r="W4" s="12">
        <f>(V4*ตัวคูณ!$B$2)+V4</f>
        <v>11420.97877391297</v>
      </c>
      <c r="X4" s="12">
        <f>(W4*ตัวคูณ!$B$2)+W4</f>
        <v>11535.188561652099</v>
      </c>
      <c r="Y4" s="12">
        <f>(X4*ตัวคูณ!$B$2)+X4</f>
        <v>11650.54044726862</v>
      </c>
      <c r="Z4" s="12">
        <f>(Y4*ตัวคูณ!$B$2)+Y4</f>
        <v>11767.045851741306</v>
      </c>
      <c r="AA4" s="12">
        <f>(Z4*ตัวคูณ!$B$2)+Z4</f>
        <v>11884.71631025872</v>
      </c>
      <c r="AB4" s="12">
        <f>(AA4*ตัวคูณ!$B$2)+AA4</f>
        <v>12003.563473361308</v>
      </c>
      <c r="AC4" s="12">
        <f>(AB4*ตัวคูณ!$B$2)+AB4</f>
        <v>12123.599108094921</v>
      </c>
      <c r="AD4" s="12">
        <f>(AC4*ตัวคูณ!$B$2)+AC4</f>
        <v>12244.835099175871</v>
      </c>
      <c r="AE4" s="12">
        <f>(AD4*ตัวคูณ!$B$2)+AD4</f>
        <v>12367.28345016763</v>
      </c>
      <c r="AF4" s="12">
        <f>(AE4*ตัวคูณ!$B$2)+AE4</f>
        <v>12490.956284669306</v>
      </c>
      <c r="AG4" s="12">
        <f>(AF4*ตัวคูณ!$B$2)+AF4</f>
        <v>12615.865847515999</v>
      </c>
      <c r="AH4" s="12">
        <f>(AG4*ตัวคูณ!$B$2)+AG4</f>
        <v>12742.024505991159</v>
      </c>
      <c r="AI4" s="12">
        <f>(AH4*ตัวคูณ!$B$2)+AH4</f>
        <v>12869.444751051071</v>
      </c>
      <c r="AJ4" s="12">
        <f>(AI4*ตัวคูณ!$B$2)+AI4</f>
        <v>12998.139198561581</v>
      </c>
      <c r="AK4" s="12">
        <f>(AJ4*ตัวคูณ!$B$2)+AJ4</f>
        <v>13128.120590547196</v>
      </c>
      <c r="AL4" s="12">
        <f>(AK4*ตัวคูณ!$B$2)+AK4</f>
        <v>13259.401796452668</v>
      </c>
      <c r="AM4" s="12">
        <f>(AL4*ตัวคูณ!$B$2)+AL4</f>
        <v>13391.995814417194</v>
      </c>
      <c r="AN4" s="12">
        <f>(AM4*ตัวคูณ!$B$2)+AM4</f>
        <v>13525.915772561366</v>
      </c>
      <c r="AO4" s="12">
        <f>(AN4*ตัวคูณ!$B$2)+AN4</f>
        <v>13661.174930286979</v>
      </c>
      <c r="AP4" s="12">
        <f>(AO4*ตัวคูณ!$B$2)+AO4</f>
        <v>13797.78667958985</v>
      </c>
      <c r="AQ4" s="12">
        <f>(AP4*ตัวคูณ!$B$2)+AP4</f>
        <v>13935.764546385748</v>
      </c>
      <c r="AR4" s="12">
        <f>(AQ4*ตัวคูณ!$B$2)+AQ4</f>
        <v>14075.122191849605</v>
      </c>
      <c r="AS4" s="12">
        <f>(AR4*ตัวคูณ!$B$2)+AR4</f>
        <v>14215.8734137681</v>
      </c>
      <c r="AT4" s="12">
        <f>(AS4*ตัวคูณ!$B$2)+AS4</f>
        <v>14358.032147905782</v>
      </c>
      <c r="AU4" s="12">
        <f>(AT4*ตัวคูณ!$B$2)+AT4</f>
        <v>14501.61246938484</v>
      </c>
      <c r="AV4" s="12">
        <f>(AU4*ตัวคูณ!$B$2)+AU4</f>
        <v>14646.628594078687</v>
      </c>
      <c r="AW4" s="12">
        <f>(AV4*ตัวคูณ!$B$2)+AV4</f>
        <v>14793.094880019475</v>
      </c>
      <c r="AX4" s="12">
        <f>(AW4*ตัวคูณ!$B$2)+AW4</f>
        <v>14941.025828819669</v>
      </c>
      <c r="AY4" s="12">
        <f>(AX4*ตัวคูณ!$B$2)+AX4</f>
        <v>15090.436087107866</v>
      </c>
      <c r="AZ4" s="12">
        <f>(AY4*ตัวคูณ!$B$2)+AY4</f>
        <v>15241.340447978944</v>
      </c>
      <c r="BA4" s="12">
        <f>(AZ4*ตัวคูณ!$B$2)+AZ4</f>
        <v>15393.753852458734</v>
      </c>
      <c r="BB4" s="12">
        <f>(BA4*ตัวคูณ!$B$2)+BA4</f>
        <v>15547.691390983322</v>
      </c>
      <c r="BC4" s="12">
        <f>(BB4*ตัวคูณ!$B$2)+BB4</f>
        <v>15703.168304893155</v>
      </c>
      <c r="BD4" s="12">
        <f>(BC4*ตัวคูณ!$B$2)+BC4</f>
        <v>15860.199987942087</v>
      </c>
      <c r="BE4" s="12">
        <f>(BD4*ตัวคูณ!$B$2)+BD4</f>
        <v>16018.801987821509</v>
      </c>
      <c r="BF4" s="12">
        <f>(BE4*ตัวคูณ!$B$2)+BE4</f>
        <v>16178.990007699724</v>
      </c>
      <c r="BG4" s="12">
        <f>(BF4*ตัวคูณ!$B$2)+BF4</f>
        <v>16340.779907776721</v>
      </c>
      <c r="BH4" s="12">
        <f>(BG4*ตัวคูณ!$B$2)+BG4</f>
        <v>16504.187706854489</v>
      </c>
      <c r="BI4" s="12">
        <f>(BH4*ตัวคูณ!$B$2)+BH4</f>
        <v>16669.229583923036</v>
      </c>
      <c r="BJ4" s="12">
        <f>(BI4*ตัวคูณ!$B$2)+BI4</f>
        <v>16835.921879762267</v>
      </c>
      <c r="BK4" s="12">
        <f>(BJ4*ตัวคูณ!$B$2)+BJ4</f>
        <v>17004.281098559888</v>
      </c>
      <c r="BL4" s="12">
        <f>(BK4*ตัวคูณ!$B$2)+BK4</f>
        <v>17174.323909545488</v>
      </c>
      <c r="BM4" s="12">
        <f>(BL4*ตัวคูณ!$B$2)+BL4</f>
        <v>17346.067148640945</v>
      </c>
      <c r="BN4" s="12">
        <f>(BM4*ตัวคูณ!$B$2)+BM4</f>
        <v>17519.527820127354</v>
      </c>
      <c r="BO4" s="12">
        <f>(BN4*ตัวคูณ!$B$2)+BN4</f>
        <v>17694.723098328628</v>
      </c>
      <c r="BP4" s="12">
        <f>(BO4*ตัวคูณ!$B$2)+BO4</f>
        <v>17871.670329311914</v>
      </c>
      <c r="BQ4" s="12">
        <f>(BP4*ตัวคูณ!$B$2)+BP4</f>
        <v>18050.387032605031</v>
      </c>
      <c r="BR4" s="12">
        <f>(BQ4*ตัวคูณ!$B$2)+BQ4</f>
        <v>18230.890902931082</v>
      </c>
      <c r="BS4" s="12">
        <f>(BR4*ตัวคูณ!$B$2)+BR4</f>
        <v>18413.199811960392</v>
      </c>
      <c r="BT4" s="12">
        <f>(BS4*ตัวคูณ!$B$2)+BS4</f>
        <v>18597.331810079995</v>
      </c>
      <c r="BU4" s="12">
        <f>(BT4*ตัวคูณ!$B$2)+BT4</f>
        <v>18783.305128180797</v>
      </c>
      <c r="BV4" s="12">
        <f>(BU4*ตัวคูณ!$B$2)+BU4</f>
        <v>18971.138179462603</v>
      </c>
      <c r="BW4" s="12">
        <f>(BV4*ตัวคูณ!$B$2)+BV4</f>
        <v>19160.84956125723</v>
      </c>
      <c r="BX4" s="12">
        <f>(BW4*ตัวคูณ!$B$2)+BW4</f>
        <v>19352.4580568698</v>
      </c>
      <c r="BY4" s="12">
        <f>(BX4*ตัวคูณ!$B$2)+BX4</f>
        <v>19545.982637438497</v>
      </c>
      <c r="BZ4" s="12">
        <f>(BY4*ตัวคูณ!$B$2)+BY4</f>
        <v>19741.442463812884</v>
      </c>
      <c r="CA4" s="12">
        <f>(BZ4*ตัวคูณ!$B$2)+BZ4</f>
        <v>19938.856888451013</v>
      </c>
      <c r="CB4" s="12">
        <f>(CA4*ตัวคูณ!$B$2)+CA4</f>
        <v>20138.245457335524</v>
      </c>
      <c r="CC4" s="12">
        <f>(CB4*ตัวคูณ!$B$2)+CB4</f>
        <v>20339.627911908879</v>
      </c>
      <c r="CD4" s="12">
        <f>(CC4*ตัวคูณ!$B$2)+CC4</f>
        <v>20543.024191027969</v>
      </c>
      <c r="CE4" s="12">
        <f>(CD4*ตัวคูณ!$B$2)+CD4</f>
        <v>20748.454432938248</v>
      </c>
      <c r="CF4" s="12">
        <f>(CE4*ตัวคูณ!$B$2)+CE4</f>
        <v>20955.93897726763</v>
      </c>
      <c r="CG4" s="12">
        <f>(CF4*ตัวคูณ!$B$2)+CF4</f>
        <v>21165.498367040305</v>
      </c>
      <c r="CH4" s="12">
        <f>(CG4*ตัวคูณ!$B$2)+CG4</f>
        <v>21377.153350710709</v>
      </c>
      <c r="CI4" s="12">
        <f>(CH4*ตัวคูณ!$B$2)+CH4</f>
        <v>21590.924884217817</v>
      </c>
      <c r="CJ4" s="12">
        <f>(CI4*ตัวคูณ!$B$2)+CI4</f>
        <v>21806.834133059994</v>
      </c>
      <c r="CK4" s="12">
        <f>(CJ4*ตัวคูณ!$B$2)+CJ4</f>
        <v>22024.902474390594</v>
      </c>
      <c r="CL4" s="12">
        <f>(CK4*ตัวคูณ!$B$2)+CK4</f>
        <v>22245.151499134499</v>
      </c>
      <c r="CM4" s="12">
        <f>(CL4*ตัวคูณ!$B$2)+CL4</f>
        <v>22467.603014125845</v>
      </c>
    </row>
    <row r="5" spans="1:91" ht="13.2">
      <c r="A5" s="10" t="s">
        <v>94</v>
      </c>
      <c r="B5" s="11">
        <v>18000</v>
      </c>
      <c r="C5" s="12">
        <f>(B5*4%)+B5</f>
        <v>18720</v>
      </c>
      <c r="D5" s="12">
        <f>(C5*ตัวคูณ!$B$2)+C5</f>
        <v>18907.2</v>
      </c>
      <c r="E5" s="12">
        <f>(D5*ตัวคูณ!$B$2)+D5</f>
        <v>19096.272000000001</v>
      </c>
      <c r="F5" s="12">
        <f>(E5*ตัวคูณ!$B$2)+E5</f>
        <v>19287.23472</v>
      </c>
      <c r="G5" s="12">
        <f>(F5*ตัวคูณ!$B$2)+F5</f>
        <v>19480.107067199999</v>
      </c>
      <c r="H5" s="12">
        <f>(G5*ตัวคูณ!$B$2)+G5</f>
        <v>19674.908137872</v>
      </c>
      <c r="I5" s="12">
        <f>(H5*ตัวคูณ!$B$2)+H5</f>
        <v>19871.657219250719</v>
      </c>
      <c r="J5" s="12">
        <f>(I5*ตัวคูณ!$B$2)+I5</f>
        <v>20070.373791443228</v>
      </c>
      <c r="K5" s="12">
        <f>(J5*ตัวคูณ!$B$2)+J5</f>
        <v>20271.077529357659</v>
      </c>
      <c r="L5" s="12">
        <f>(K5*ตัวคูณ!$B$2)+K5</f>
        <v>20473.788304651236</v>
      </c>
      <c r="M5" s="13">
        <f>(L5*ตัวคูณ!$B$2)+L5</f>
        <v>20678.526187697749</v>
      </c>
      <c r="N5" s="12">
        <f>(M5*ตัวคูณ!$B$2)+M5</f>
        <v>20885.311449574725</v>
      </c>
      <c r="O5" s="12">
        <f>(N5*ตัวคูณ!$B$2)+N5</f>
        <v>21094.164564070474</v>
      </c>
      <c r="P5" s="12">
        <f>(O5*ตัวคูณ!$B$2)+O5</f>
        <v>21305.106209711179</v>
      </c>
      <c r="Q5" s="12">
        <f>(P5*ตัวคูณ!$B$2)+P5</f>
        <v>21518.15727180829</v>
      </c>
      <c r="R5" s="12">
        <f>(Q5*ตัวคูณ!$B$2)+Q5</f>
        <v>21733.338844526374</v>
      </c>
      <c r="S5" s="12">
        <f>(R5*ตัวคูณ!$B$2)+R5</f>
        <v>21950.672232971636</v>
      </c>
      <c r="T5" s="12">
        <f>(S5*ตัวคูณ!$B$2)+S5</f>
        <v>22170.178955301351</v>
      </c>
      <c r="U5" s="12">
        <f>(T5*ตัวคูณ!$B$2)+T5</f>
        <v>22391.880744854367</v>
      </c>
      <c r="V5" s="12">
        <f>(U5*ตัวคูณ!$B$2)+U5</f>
        <v>22615.799552302909</v>
      </c>
      <c r="W5" s="12">
        <f>(V5*ตัวคูณ!$B$2)+V5</f>
        <v>22841.957547825939</v>
      </c>
      <c r="X5" s="12">
        <f>(W5*ตัวคูณ!$B$2)+W5</f>
        <v>23070.377123304199</v>
      </c>
      <c r="Y5" s="12">
        <f>(X5*ตัวคูณ!$B$2)+X5</f>
        <v>23301.080894537241</v>
      </c>
      <c r="Z5" s="12">
        <f>(Y5*ตัวคูณ!$B$2)+Y5</f>
        <v>23534.091703482613</v>
      </c>
      <c r="AA5" s="12">
        <f>(Z5*ตัวคูณ!$B$2)+Z5</f>
        <v>23769.43262051744</v>
      </c>
      <c r="AB5" s="12">
        <f>(AA5*ตัวคูณ!$B$2)+AA5</f>
        <v>24007.126946722616</v>
      </c>
      <c r="AC5" s="12">
        <f>(AB5*ตัวคูณ!$B$2)+AB5</f>
        <v>24247.198216189841</v>
      </c>
      <c r="AD5" s="12">
        <f>(AC5*ตัวคูณ!$B$2)+AC5</f>
        <v>24489.670198351741</v>
      </c>
      <c r="AE5" s="12">
        <f>(AD5*ตัวคูณ!$B$2)+AD5</f>
        <v>24734.56690033526</v>
      </c>
      <c r="AF5" s="12">
        <f>(AE5*ตัวคูณ!$B$2)+AE5</f>
        <v>24981.912569338612</v>
      </c>
      <c r="AG5" s="12">
        <f>(AF5*ตัวคูณ!$B$2)+AF5</f>
        <v>25231.731695031998</v>
      </c>
      <c r="AH5" s="12">
        <f>(AG5*ตัวคูณ!$B$2)+AG5</f>
        <v>25484.049011982319</v>
      </c>
      <c r="AI5" s="12">
        <f>(AH5*ตัวคูณ!$B$2)+AH5</f>
        <v>25738.889502102142</v>
      </c>
      <c r="AJ5" s="12">
        <f>(AI5*ตัวคูณ!$B$2)+AI5</f>
        <v>25996.278397123162</v>
      </c>
      <c r="AK5" s="12">
        <f>(AJ5*ตัวคูณ!$B$2)+AJ5</f>
        <v>26256.241181094392</v>
      </c>
      <c r="AL5" s="12">
        <f>(AK5*ตัวคูณ!$B$2)+AK5</f>
        <v>26518.803592905337</v>
      </c>
      <c r="AM5" s="12">
        <f>(AL5*ตัวคูณ!$B$2)+AL5</f>
        <v>26783.991628834388</v>
      </c>
      <c r="AN5" s="12">
        <f>(AM5*ตัวคูณ!$B$2)+AM5</f>
        <v>27051.831545122732</v>
      </c>
      <c r="AO5" s="12">
        <f>(AN5*ตัวคูณ!$B$2)+AN5</f>
        <v>27322.349860573959</v>
      </c>
      <c r="AP5" s="12">
        <f>(AO5*ตัวคูณ!$B$2)+AO5</f>
        <v>27595.5733591797</v>
      </c>
      <c r="AQ5" s="12">
        <f>(AP5*ตัวคูณ!$B$2)+AP5</f>
        <v>27871.529092771496</v>
      </c>
      <c r="AR5" s="12">
        <f>(AQ5*ตัวคูณ!$B$2)+AQ5</f>
        <v>28150.24438369921</v>
      </c>
      <c r="AS5" s="12">
        <f>(AR5*ตัวคูณ!$B$2)+AR5</f>
        <v>28431.746827536201</v>
      </c>
      <c r="AT5" s="12">
        <f>(AS5*ตัวคูณ!$B$2)+AS5</f>
        <v>28716.064295811564</v>
      </c>
      <c r="AU5" s="12">
        <f>(AT5*ตัวคูณ!$B$2)+AT5</f>
        <v>29003.224938769679</v>
      </c>
      <c r="AV5" s="12">
        <f>(AU5*ตัวคูณ!$B$2)+AU5</f>
        <v>29293.257188157375</v>
      </c>
      <c r="AW5" s="12">
        <f>(AV5*ตัวคูณ!$B$2)+AV5</f>
        <v>29586.189760038949</v>
      </c>
      <c r="AX5" s="12">
        <f>(AW5*ตัวคูณ!$B$2)+AW5</f>
        <v>29882.051657639338</v>
      </c>
      <c r="AY5" s="12">
        <f>(AX5*ตัวคูณ!$B$2)+AX5</f>
        <v>30180.872174215732</v>
      </c>
      <c r="AZ5" s="12">
        <f>(AY5*ตัวคูณ!$B$2)+AY5</f>
        <v>30482.680895957888</v>
      </c>
      <c r="BA5" s="12">
        <f>(AZ5*ตัวคูณ!$B$2)+AZ5</f>
        <v>30787.507704917469</v>
      </c>
      <c r="BB5" s="12">
        <f>(BA5*ตัวคูณ!$B$2)+BA5</f>
        <v>31095.382781966644</v>
      </c>
      <c r="BC5" s="12">
        <f>(BB5*ตัวคูณ!$B$2)+BB5</f>
        <v>31406.336609786311</v>
      </c>
      <c r="BD5" s="12">
        <f>(BC5*ตัวคูณ!$B$2)+BC5</f>
        <v>31720.399975884175</v>
      </c>
      <c r="BE5" s="12">
        <f>(BD5*ตัวคูณ!$B$2)+BD5</f>
        <v>32037.603975643018</v>
      </c>
      <c r="BF5" s="12">
        <f>(BE5*ตัวคูณ!$B$2)+BE5</f>
        <v>32357.980015399447</v>
      </c>
      <c r="BG5" s="12">
        <f>(BF5*ตัวคูณ!$B$2)+BF5</f>
        <v>32681.559815553443</v>
      </c>
      <c r="BH5" s="12">
        <f>(BG5*ตัวคูณ!$B$2)+BG5</f>
        <v>33008.375413708978</v>
      </c>
      <c r="BI5" s="12">
        <f>(BH5*ตัวคูณ!$B$2)+BH5</f>
        <v>33338.459167846071</v>
      </c>
      <c r="BJ5" s="12">
        <f>(BI5*ตัวคูณ!$B$2)+BI5</f>
        <v>33671.843759524534</v>
      </c>
      <c r="BK5" s="12">
        <f>(BJ5*ตัวคูณ!$B$2)+BJ5</f>
        <v>34008.562197119776</v>
      </c>
      <c r="BL5" s="12">
        <f>(BK5*ตัวคูณ!$B$2)+BK5</f>
        <v>34348.647819090977</v>
      </c>
      <c r="BM5" s="12">
        <f>(BL5*ตัวคูณ!$B$2)+BL5</f>
        <v>34692.134297281889</v>
      </c>
      <c r="BN5" s="12">
        <f>(BM5*ตัวคูณ!$B$2)+BM5</f>
        <v>35039.055640254708</v>
      </c>
      <c r="BO5" s="12">
        <f>(BN5*ตัวคูณ!$B$2)+BN5</f>
        <v>35389.446196657256</v>
      </c>
      <c r="BP5" s="12">
        <f>(BO5*ตัวคูณ!$B$2)+BO5</f>
        <v>35743.340658623827</v>
      </c>
      <c r="BQ5" s="12">
        <f>(BP5*ตัวคูณ!$B$2)+BP5</f>
        <v>36100.774065210062</v>
      </c>
      <c r="BR5" s="12">
        <f>(BQ5*ตัวคูณ!$B$2)+BQ5</f>
        <v>36461.781805862163</v>
      </c>
      <c r="BS5" s="12">
        <f>(BR5*ตัวคูณ!$B$2)+BR5</f>
        <v>36826.399623920785</v>
      </c>
      <c r="BT5" s="12">
        <f>(BS5*ตัวคูณ!$B$2)+BS5</f>
        <v>37194.66362015999</v>
      </c>
      <c r="BU5" s="12">
        <f>(BT5*ตัวคูณ!$B$2)+BT5</f>
        <v>37566.610256361593</v>
      </c>
      <c r="BV5" s="12">
        <f>(BU5*ตัวคูณ!$B$2)+BU5</f>
        <v>37942.276358925206</v>
      </c>
      <c r="BW5" s="12">
        <f>(BV5*ตัวคูณ!$B$2)+BV5</f>
        <v>38321.699122514459</v>
      </c>
      <c r="BX5" s="12">
        <f>(BW5*ตัวคูณ!$B$2)+BW5</f>
        <v>38704.9161137396</v>
      </c>
      <c r="BY5" s="12">
        <f>(BX5*ตัวคูณ!$B$2)+BX5</f>
        <v>39091.965274876995</v>
      </c>
      <c r="BZ5" s="12">
        <f>(BY5*ตัวคูณ!$B$2)+BY5</f>
        <v>39482.884927625768</v>
      </c>
      <c r="CA5" s="12">
        <f>(BZ5*ตัวคูณ!$B$2)+BZ5</f>
        <v>39877.713776902026</v>
      </c>
      <c r="CB5" s="12">
        <f>(CA5*ตัวคูณ!$B$2)+CA5</f>
        <v>40276.490914671049</v>
      </c>
      <c r="CC5" s="12">
        <f>(CB5*ตัวคูณ!$B$2)+CB5</f>
        <v>40679.255823817759</v>
      </c>
      <c r="CD5" s="12">
        <f>(CC5*ตัวคูณ!$B$2)+CC5</f>
        <v>41086.048382055938</v>
      </c>
      <c r="CE5" s="12">
        <f>(CD5*ตัวคูณ!$B$2)+CD5</f>
        <v>41496.908865876496</v>
      </c>
      <c r="CF5" s="12">
        <f>(CE5*ตัวคูณ!$B$2)+CE5</f>
        <v>41911.877954535259</v>
      </c>
      <c r="CG5" s="12">
        <f>(CF5*ตัวคูณ!$B$2)+CF5</f>
        <v>42330.996734080611</v>
      </c>
      <c r="CH5" s="12">
        <f>(CG5*ตัวคูณ!$B$2)+CG5</f>
        <v>42754.306701421418</v>
      </c>
      <c r="CI5" s="12">
        <f>(CH5*ตัวคูณ!$B$2)+CH5</f>
        <v>43181.849768435633</v>
      </c>
      <c r="CJ5" s="12">
        <f>(CI5*ตัวคูณ!$B$2)+CI5</f>
        <v>43613.668266119988</v>
      </c>
      <c r="CK5" s="12">
        <f>(CJ5*ตัวคูณ!$B$2)+CJ5</f>
        <v>44049.804948781188</v>
      </c>
      <c r="CL5" s="12">
        <f>(CK5*ตัวคูณ!$B$2)+CK5</f>
        <v>44490.302998268999</v>
      </c>
      <c r="CM5" s="12">
        <f>(CL5*ตัวคูณ!$B$2)+CL5</f>
        <v>44935.20602825169</v>
      </c>
    </row>
    <row r="6" spans="1:91" ht="13.2">
      <c r="A6" s="10" t="s">
        <v>95</v>
      </c>
      <c r="B6" s="11">
        <v>4300</v>
      </c>
      <c r="C6" s="12">
        <f>(B6*4%)+B6</f>
        <v>4472</v>
      </c>
      <c r="D6" s="12">
        <f>(C6*ตัวคูณ!$B$2)+C6</f>
        <v>4516.72</v>
      </c>
      <c r="E6" s="12">
        <f>(D6*ตัวคูณ!$B$2)+D6</f>
        <v>4561.8872000000001</v>
      </c>
      <c r="F6" s="12">
        <f>(E6*ตัวคูณ!$B$2)+E6</f>
        <v>4607.5060720000001</v>
      </c>
      <c r="G6" s="12">
        <f>(F6*ตัวคูณ!$B$2)+F6</f>
        <v>4653.5811327199999</v>
      </c>
      <c r="H6" s="12">
        <f>(G6*ตัวคูณ!$B$2)+G6</f>
        <v>4700.1169440471995</v>
      </c>
      <c r="I6" s="12">
        <f>(H6*ตัวคูณ!$B$2)+H6</f>
        <v>4747.1181134876715</v>
      </c>
      <c r="J6" s="12">
        <f>(I6*ตัวคูณ!$B$2)+I6</f>
        <v>4794.5892946225486</v>
      </c>
      <c r="K6" s="12">
        <f>(J6*ตัวคูณ!$B$2)+J6</f>
        <v>4842.5351875687738</v>
      </c>
      <c r="L6" s="12">
        <f>(K6*ตัวคูณ!$B$2)+K6</f>
        <v>4890.9605394444616</v>
      </c>
      <c r="M6" s="13">
        <f>(L6*ตัวคูณ!$B$2)+L6</f>
        <v>4939.8701448389065</v>
      </c>
      <c r="N6" s="12">
        <f>(M6*ตัวคูณ!$B$2)+M6</f>
        <v>4989.2688462872957</v>
      </c>
      <c r="O6" s="12">
        <f>(N6*ตัวคูณ!$B$2)+N6</f>
        <v>5039.1615347501684</v>
      </c>
      <c r="P6" s="12">
        <f>(O6*ตัวคูณ!$B$2)+O6</f>
        <v>5089.5531500976704</v>
      </c>
      <c r="Q6" s="12">
        <f>(P6*ตัวคูณ!$B$2)+P6</f>
        <v>5140.4486815986475</v>
      </c>
      <c r="R6" s="12">
        <f>(Q6*ตัวคูณ!$B$2)+Q6</f>
        <v>5191.8531684146337</v>
      </c>
      <c r="S6" s="12">
        <f>(R6*ตัวคูณ!$B$2)+R6</f>
        <v>5243.7717000987805</v>
      </c>
      <c r="T6" s="12">
        <f>(S6*ตัวคูณ!$B$2)+S6</f>
        <v>5296.209417099768</v>
      </c>
      <c r="U6" s="12">
        <f>(T6*ตัวคูณ!$B$2)+T6</f>
        <v>5349.1715112707652</v>
      </c>
      <c r="V6" s="12">
        <f>(U6*ตัวคูณ!$B$2)+U6</f>
        <v>5402.6632263834726</v>
      </c>
      <c r="W6" s="12">
        <f>(V6*ตัวคูณ!$B$2)+V6</f>
        <v>5456.6898586473071</v>
      </c>
      <c r="X6" s="12">
        <f>(W6*ตัวคูณ!$B$2)+W6</f>
        <v>5511.2567572337803</v>
      </c>
      <c r="Y6" s="12">
        <f>(X6*ตัวคูณ!$B$2)+X6</f>
        <v>5566.3693248061181</v>
      </c>
      <c r="Z6" s="12">
        <f>(Y6*ตัวคูณ!$B$2)+Y6</f>
        <v>5622.0330180541796</v>
      </c>
      <c r="AA6" s="12">
        <f>(Z6*ตัวคูณ!$B$2)+Z6</f>
        <v>5678.2533482347217</v>
      </c>
      <c r="AB6" s="12">
        <f>(AA6*ตัวคูณ!$B$2)+AA6</f>
        <v>5735.0358817170691</v>
      </c>
      <c r="AC6" s="12">
        <f>(AB6*ตัวคูณ!$B$2)+AB6</f>
        <v>5792.3862405342397</v>
      </c>
      <c r="AD6" s="12">
        <f>(AC6*ตัวคูณ!$B$2)+AC6</f>
        <v>5850.3101029395821</v>
      </c>
      <c r="AE6" s="12">
        <f>(AD6*ตัวคูณ!$B$2)+AD6</f>
        <v>5908.8132039689781</v>
      </c>
      <c r="AF6" s="12">
        <f>(AE6*ตัวคูณ!$B$2)+AE6</f>
        <v>5967.9013360086683</v>
      </c>
      <c r="AG6" s="12">
        <f>(AF6*ตัวคูณ!$B$2)+AF6</f>
        <v>6027.5803493687554</v>
      </c>
      <c r="AH6" s="12">
        <f>(AG6*ตัวคูณ!$B$2)+AG6</f>
        <v>6087.8561528624432</v>
      </c>
      <c r="AI6" s="12">
        <f>(AH6*ตัวคูณ!$B$2)+AH6</f>
        <v>6148.7347143910674</v>
      </c>
      <c r="AJ6" s="12">
        <f>(AI6*ตัวคูณ!$B$2)+AI6</f>
        <v>6210.2220615349779</v>
      </c>
      <c r="AK6" s="12">
        <f>(AJ6*ตัวคูณ!$B$2)+AJ6</f>
        <v>6272.3242821503281</v>
      </c>
      <c r="AL6" s="12">
        <f>(AK6*ตัวคูณ!$B$2)+AK6</f>
        <v>6335.0475249718311</v>
      </c>
      <c r="AM6" s="12">
        <f>(AL6*ตัวคูณ!$B$2)+AL6</f>
        <v>6398.3980002215494</v>
      </c>
      <c r="AN6" s="12">
        <f>(AM6*ตัวคูณ!$B$2)+AM6</f>
        <v>6462.3819802237649</v>
      </c>
      <c r="AO6" s="12">
        <f>(AN6*ตัวคูณ!$B$2)+AN6</f>
        <v>6527.0058000260024</v>
      </c>
      <c r="AP6" s="12">
        <f>(AO6*ตัวคูณ!$B$2)+AO6</f>
        <v>6592.2758580262625</v>
      </c>
      <c r="AQ6" s="12">
        <f>(AP6*ตัวคูณ!$B$2)+AP6</f>
        <v>6658.1986166065253</v>
      </c>
      <c r="AR6" s="12">
        <f>(AQ6*ตัวคูณ!$B$2)+AQ6</f>
        <v>6724.780602772591</v>
      </c>
      <c r="AS6" s="12">
        <f>(AR6*ตัวคูณ!$B$2)+AR6</f>
        <v>6792.0284088003173</v>
      </c>
      <c r="AT6" s="12">
        <f>(AS6*ตัวคูณ!$B$2)+AS6</f>
        <v>6859.9486928883207</v>
      </c>
      <c r="AU6" s="12">
        <f>(AT6*ตัวคูณ!$B$2)+AT6</f>
        <v>6928.5481798172041</v>
      </c>
      <c r="AV6" s="12">
        <f>(AU6*ตัวคูณ!$B$2)+AU6</f>
        <v>6997.8336616153765</v>
      </c>
      <c r="AW6" s="12">
        <f>(AV6*ตัวคูณ!$B$2)+AV6</f>
        <v>7067.8119982315302</v>
      </c>
      <c r="AX6" s="12">
        <f>(AW6*ตัวคูณ!$B$2)+AW6</f>
        <v>7138.4901182138456</v>
      </c>
      <c r="AY6" s="12">
        <f>(AX6*ตัวคูณ!$B$2)+AX6</f>
        <v>7209.8750193959841</v>
      </c>
      <c r="AZ6" s="12">
        <f>(AY6*ตัวคูณ!$B$2)+AY6</f>
        <v>7281.9737695899439</v>
      </c>
      <c r="BA6" s="12">
        <f>(AZ6*ตัวคูณ!$B$2)+AZ6</f>
        <v>7354.7935072858436</v>
      </c>
      <c r="BB6" s="12">
        <f>(BA6*ตัวคูณ!$B$2)+BA6</f>
        <v>7428.3414423587019</v>
      </c>
      <c r="BC6" s="12">
        <f>(BB6*ตัวคูณ!$B$2)+BB6</f>
        <v>7502.6248567822886</v>
      </c>
      <c r="BD6" s="12">
        <f>(BC6*ตัวคูณ!$B$2)+BC6</f>
        <v>7577.6511053501117</v>
      </c>
      <c r="BE6" s="12">
        <f>(BD6*ตัวคูณ!$B$2)+BD6</f>
        <v>7653.4276164036128</v>
      </c>
      <c r="BF6" s="12">
        <f>(BE6*ตัวคูณ!$B$2)+BE6</f>
        <v>7729.9618925676486</v>
      </c>
      <c r="BG6" s="12">
        <f>(BF6*ตัวคูณ!$B$2)+BF6</f>
        <v>7807.2615114933251</v>
      </c>
      <c r="BH6" s="12">
        <f>(BG6*ตัวคูณ!$B$2)+BG6</f>
        <v>7885.334126608258</v>
      </c>
      <c r="BI6" s="12">
        <f>(BH6*ตัวคูณ!$B$2)+BH6</f>
        <v>7964.1874678743407</v>
      </c>
      <c r="BJ6" s="12">
        <f>(BI6*ตัวคูณ!$B$2)+BI6</f>
        <v>8043.8293425530837</v>
      </c>
      <c r="BK6" s="12">
        <f>(BJ6*ตัวคูณ!$B$2)+BJ6</f>
        <v>8124.2676359786146</v>
      </c>
      <c r="BL6" s="12">
        <f>(BK6*ตัวคูณ!$B$2)+BK6</f>
        <v>8205.5103123384015</v>
      </c>
      <c r="BM6" s="12">
        <f>(BL6*ตัวคูณ!$B$2)+BL6</f>
        <v>8287.565415461786</v>
      </c>
      <c r="BN6" s="12">
        <f>(BM6*ตัวคูณ!$B$2)+BM6</f>
        <v>8370.4410696164032</v>
      </c>
      <c r="BO6" s="12">
        <f>(BN6*ตัวคูณ!$B$2)+BN6</f>
        <v>8454.1454803125671</v>
      </c>
      <c r="BP6" s="12">
        <f>(BO6*ตัวคูณ!$B$2)+BO6</f>
        <v>8538.6869351156929</v>
      </c>
      <c r="BQ6" s="12">
        <f>(BP6*ตัวคูณ!$B$2)+BP6</f>
        <v>8624.0738044668506</v>
      </c>
      <c r="BR6" s="12">
        <f>(BQ6*ตัวคูณ!$B$2)+BQ6</f>
        <v>8710.3145425115199</v>
      </c>
      <c r="BS6" s="12">
        <f>(BR6*ตัวคูณ!$B$2)+BR6</f>
        <v>8797.417687936635</v>
      </c>
      <c r="BT6" s="12">
        <f>(BS6*ตัวคูณ!$B$2)+BS6</f>
        <v>8885.3918648160015</v>
      </c>
      <c r="BU6" s="12">
        <f>(BT6*ตัวคูณ!$B$2)+BT6</f>
        <v>8974.2457834641609</v>
      </c>
      <c r="BV6" s="12">
        <f>(BU6*ตัวคูณ!$B$2)+BU6</f>
        <v>9063.9882412988027</v>
      </c>
      <c r="BW6" s="12">
        <f>(BV6*ตัวคูณ!$B$2)+BV6</f>
        <v>9154.628123711791</v>
      </c>
      <c r="BX6" s="12">
        <f>(BW6*ตัวคูณ!$B$2)+BW6</f>
        <v>9246.1744049489098</v>
      </c>
      <c r="BY6" s="12">
        <f>(BX6*ตัวคูณ!$B$2)+BX6</f>
        <v>9338.6361489983992</v>
      </c>
      <c r="BZ6" s="12">
        <f>(BY6*ตัวคูณ!$B$2)+BY6</f>
        <v>9432.022510488383</v>
      </c>
      <c r="CA6" s="12">
        <f>(BZ6*ตัวคูณ!$B$2)+BZ6</f>
        <v>9526.3427355932672</v>
      </c>
      <c r="CB6" s="12">
        <f>(CA6*ตัวคูณ!$B$2)+CA6</f>
        <v>9621.6061629491996</v>
      </c>
      <c r="CC6" s="12">
        <f>(CB6*ตัวคูณ!$B$2)+CB6</f>
        <v>9717.822224578691</v>
      </c>
      <c r="CD6" s="12">
        <f>(CC6*ตัวคูณ!$B$2)+CC6</f>
        <v>9815.0004468244788</v>
      </c>
      <c r="CE6" s="12">
        <f>(CD6*ตัวคูณ!$B$2)+CD6</f>
        <v>9913.150451292724</v>
      </c>
      <c r="CF6" s="12">
        <f>(CE6*ตัวคูณ!$B$2)+CE6</f>
        <v>10012.281955805651</v>
      </c>
      <c r="CG6" s="12">
        <f>(CF6*ตัวคูณ!$B$2)+CF6</f>
        <v>10112.404775363708</v>
      </c>
      <c r="CH6" s="12">
        <f>(CG6*ตัวคูณ!$B$2)+CG6</f>
        <v>10213.528823117345</v>
      </c>
      <c r="CI6" s="12">
        <f>(CH6*ตัวคูณ!$B$2)+CH6</f>
        <v>10315.664111348518</v>
      </c>
      <c r="CJ6" s="12">
        <f>(CI6*ตัวคูณ!$B$2)+CI6</f>
        <v>10418.820752462003</v>
      </c>
      <c r="CK6" s="12">
        <f>(CJ6*ตัวคูณ!$B$2)+CJ6</f>
        <v>10523.008959986622</v>
      </c>
      <c r="CL6" s="12">
        <f>(CK6*ตัวคูณ!$B$2)+CK6</f>
        <v>10628.239049586489</v>
      </c>
      <c r="CM6" s="12">
        <f>(CL6*ตัวคูณ!$B$2)+CL6</f>
        <v>10734.521440082353</v>
      </c>
    </row>
    <row r="7" spans="1:91" ht="13.2">
      <c r="A7" s="14"/>
      <c r="B7" s="14"/>
      <c r="C7" s="14"/>
      <c r="D7" s="15"/>
      <c r="E7" s="14"/>
      <c r="F7" s="14"/>
      <c r="G7" s="14"/>
      <c r="H7" s="14"/>
      <c r="I7" s="14"/>
      <c r="J7" s="14"/>
      <c r="K7" s="14"/>
      <c r="L7" s="14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</row>
    <row r="8" spans="1:91" ht="13.2">
      <c r="A8" s="14"/>
      <c r="B8" s="14"/>
      <c r="C8" s="14"/>
      <c r="D8" s="15"/>
      <c r="E8" s="14"/>
      <c r="F8" s="14"/>
      <c r="G8" s="14"/>
      <c r="H8" s="14"/>
      <c r="I8" s="14"/>
      <c r="J8" s="14"/>
      <c r="K8" s="14"/>
      <c r="L8" s="14"/>
      <c r="M8" s="16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</row>
    <row r="9" spans="1:91" ht="15.75" customHeight="1">
      <c r="A9" s="17" t="s">
        <v>96</v>
      </c>
      <c r="B9" s="18">
        <f>ตัวคูณ!B3</f>
        <v>0.01</v>
      </c>
      <c r="C9" s="14"/>
      <c r="D9" s="15"/>
      <c r="E9" s="19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</row>
    <row r="10" spans="1:91" ht="13.2">
      <c r="A10" s="20" t="s">
        <v>2</v>
      </c>
      <c r="B10" s="20">
        <v>33</v>
      </c>
      <c r="C10" s="20" t="s">
        <v>3</v>
      </c>
      <c r="D10" s="21" t="s">
        <v>4</v>
      </c>
      <c r="E10" s="21" t="s">
        <v>5</v>
      </c>
      <c r="F10" s="21" t="s">
        <v>6</v>
      </c>
      <c r="G10" s="21" t="s">
        <v>7</v>
      </c>
      <c r="H10" s="21" t="s">
        <v>8</v>
      </c>
      <c r="I10" s="21" t="s">
        <v>9</v>
      </c>
      <c r="J10" s="21" t="s">
        <v>10</v>
      </c>
      <c r="K10" s="21" t="s">
        <v>11</v>
      </c>
      <c r="L10" s="21" t="s">
        <v>12</v>
      </c>
      <c r="M10" s="22" t="s">
        <v>13</v>
      </c>
      <c r="N10" s="21" t="s">
        <v>14</v>
      </c>
      <c r="O10" s="21" t="s">
        <v>15</v>
      </c>
      <c r="P10" s="21" t="s">
        <v>16</v>
      </c>
      <c r="Q10" s="21" t="s">
        <v>17</v>
      </c>
      <c r="R10" s="21" t="s">
        <v>18</v>
      </c>
      <c r="S10" s="21" t="s">
        <v>19</v>
      </c>
      <c r="T10" s="21" t="s">
        <v>20</v>
      </c>
      <c r="U10" s="21" t="s">
        <v>21</v>
      </c>
      <c r="V10" s="21" t="s">
        <v>22</v>
      </c>
      <c r="W10" s="21" t="s">
        <v>23</v>
      </c>
      <c r="X10" s="21" t="s">
        <v>24</v>
      </c>
      <c r="Y10" s="21" t="s">
        <v>25</v>
      </c>
      <c r="Z10" s="21" t="s">
        <v>26</v>
      </c>
      <c r="AA10" s="21" t="s">
        <v>27</v>
      </c>
      <c r="AB10" s="21" t="s">
        <v>28</v>
      </c>
      <c r="AC10" s="21" t="s">
        <v>29</v>
      </c>
      <c r="AD10" s="21" t="s">
        <v>30</v>
      </c>
      <c r="AE10" s="21" t="s">
        <v>31</v>
      </c>
      <c r="AF10" s="21" t="s">
        <v>32</v>
      </c>
      <c r="AG10" s="21" t="s">
        <v>33</v>
      </c>
      <c r="AH10" s="21" t="s">
        <v>34</v>
      </c>
      <c r="AI10" s="21" t="s">
        <v>35</v>
      </c>
      <c r="AJ10" s="21" t="s">
        <v>36</v>
      </c>
      <c r="AK10" s="21" t="s">
        <v>37</v>
      </c>
      <c r="AL10" s="21" t="s">
        <v>38</v>
      </c>
      <c r="AM10" s="21" t="s">
        <v>39</v>
      </c>
      <c r="AN10" s="21" t="s">
        <v>40</v>
      </c>
      <c r="AO10" s="21" t="s">
        <v>41</v>
      </c>
      <c r="AP10" s="21" t="s">
        <v>42</v>
      </c>
      <c r="AQ10" s="21" t="s">
        <v>43</v>
      </c>
      <c r="AR10" s="21" t="s">
        <v>44</v>
      </c>
      <c r="AS10" s="21" t="s">
        <v>45</v>
      </c>
      <c r="AT10" s="21" t="s">
        <v>46</v>
      </c>
      <c r="AU10" s="21" t="s">
        <v>47</v>
      </c>
      <c r="AV10" s="21" t="s">
        <v>48</v>
      </c>
      <c r="AW10" s="21" t="s">
        <v>49</v>
      </c>
      <c r="AX10" s="21" t="s">
        <v>50</v>
      </c>
      <c r="AY10" s="21" t="s">
        <v>51</v>
      </c>
      <c r="AZ10" s="21" t="s">
        <v>52</v>
      </c>
      <c r="BA10" s="21" t="s">
        <v>53</v>
      </c>
      <c r="BB10" s="21" t="s">
        <v>54</v>
      </c>
      <c r="BC10" s="21" t="s">
        <v>55</v>
      </c>
      <c r="BD10" s="21" t="s">
        <v>56</v>
      </c>
      <c r="BE10" s="21" t="s">
        <v>57</v>
      </c>
      <c r="BF10" s="21" t="s">
        <v>58</v>
      </c>
      <c r="BG10" s="21" t="s">
        <v>59</v>
      </c>
      <c r="BH10" s="21" t="s">
        <v>60</v>
      </c>
      <c r="BI10" s="21" t="s">
        <v>61</v>
      </c>
      <c r="BJ10" s="21" t="s">
        <v>62</v>
      </c>
      <c r="BK10" s="21" t="s">
        <v>63</v>
      </c>
      <c r="BL10" s="21" t="s">
        <v>64</v>
      </c>
      <c r="BM10" s="21" t="s">
        <v>65</v>
      </c>
      <c r="BN10" s="21" t="s">
        <v>66</v>
      </c>
      <c r="BO10" s="21" t="s">
        <v>67</v>
      </c>
      <c r="BP10" s="21" t="s">
        <v>68</v>
      </c>
      <c r="BQ10" s="21" t="s">
        <v>69</v>
      </c>
      <c r="BR10" s="21" t="s">
        <v>70</v>
      </c>
      <c r="BS10" s="21" t="s">
        <v>71</v>
      </c>
      <c r="BT10" s="21" t="s">
        <v>72</v>
      </c>
      <c r="BU10" s="21" t="s">
        <v>73</v>
      </c>
      <c r="BV10" s="21" t="s">
        <v>74</v>
      </c>
      <c r="BW10" s="21" t="s">
        <v>75</v>
      </c>
      <c r="BX10" s="21" t="s">
        <v>76</v>
      </c>
      <c r="BY10" s="21" t="s">
        <v>77</v>
      </c>
      <c r="BZ10" s="21" t="s">
        <v>78</v>
      </c>
      <c r="CA10" s="21" t="s">
        <v>79</v>
      </c>
      <c r="CB10" s="21" t="s">
        <v>80</v>
      </c>
      <c r="CC10" s="21" t="s">
        <v>81</v>
      </c>
      <c r="CD10" s="21" t="s">
        <v>82</v>
      </c>
      <c r="CE10" s="21" t="s">
        <v>83</v>
      </c>
      <c r="CF10" s="21" t="s">
        <v>84</v>
      </c>
      <c r="CG10" s="21" t="s">
        <v>85</v>
      </c>
      <c r="CH10" s="21" t="s">
        <v>86</v>
      </c>
      <c r="CI10" s="21" t="s">
        <v>87</v>
      </c>
      <c r="CJ10" s="21" t="s">
        <v>88</v>
      </c>
      <c r="CK10" s="21" t="s">
        <v>89</v>
      </c>
      <c r="CL10" s="21" t="s">
        <v>90</v>
      </c>
      <c r="CM10" s="21" t="s">
        <v>91</v>
      </c>
    </row>
    <row r="11" spans="1:91" ht="13.2">
      <c r="A11" s="10" t="s">
        <v>92</v>
      </c>
      <c r="B11" s="11">
        <v>12300</v>
      </c>
      <c r="C11" s="12">
        <f>(B11*4%)+B11</f>
        <v>12792</v>
      </c>
      <c r="D11" s="12">
        <f>(C11*ตัวคูณ!$B$3)+C11</f>
        <v>12919.92</v>
      </c>
      <c r="E11" s="12">
        <f>(D11*ตัวคูณ!$B$3)+D11</f>
        <v>13049.119199999999</v>
      </c>
      <c r="F11" s="12">
        <f>(E11*ตัวคูณ!$B$3)+E11</f>
        <v>13179.610391999999</v>
      </c>
      <c r="G11" s="12">
        <f>(F11*ตัวคูณ!$B$3)+F11</f>
        <v>13311.406495919999</v>
      </c>
      <c r="H11" s="12">
        <f>(G11*ตัวคูณ!$B$3)+G11</f>
        <v>13444.520560879198</v>
      </c>
      <c r="I11" s="12">
        <f>(H11*ตัวคูณ!$B$3)+H11</f>
        <v>13578.965766487991</v>
      </c>
      <c r="J11" s="12">
        <f>(I11*ตัวคูณ!$B$3)+I11</f>
        <v>13714.755424152871</v>
      </c>
      <c r="K11" s="12">
        <f>(J11*ตัวคูณ!$B$3)+J11</f>
        <v>13851.902978394399</v>
      </c>
      <c r="L11" s="12">
        <f>(K11*ตัวคูณ!$B$3)+K11</f>
        <v>13990.422008178342</v>
      </c>
      <c r="M11" s="13">
        <f>(L11*ตัวคูณ!$B$3)+L11</f>
        <v>14130.326228260126</v>
      </c>
      <c r="N11" s="12">
        <f>(M11*ตัวคูณ!$B$3)+M11</f>
        <v>14271.629490542728</v>
      </c>
      <c r="O11" s="12">
        <f>(N11*ตัวคูณ!$B$3)+N11</f>
        <v>14414.345785448155</v>
      </c>
      <c r="P11" s="12">
        <f>(O11*ตัวคูณ!$B$3)+O11</f>
        <v>14558.489243302636</v>
      </c>
      <c r="Q11" s="12">
        <f>(P11*ตัวคูณ!$B$3)+P11</f>
        <v>14704.074135735662</v>
      </c>
      <c r="R11" s="12">
        <f>(Q11*ตัวคูณ!$B$3)+Q11</f>
        <v>14851.114877093018</v>
      </c>
      <c r="S11" s="12">
        <f>(R11*ตัวคูณ!$B$3)+R11</f>
        <v>14999.626025863949</v>
      </c>
      <c r="T11" s="12">
        <f>(S11*ตัวคูณ!$B$3)+S11</f>
        <v>15149.622286122589</v>
      </c>
      <c r="U11" s="12">
        <f>(T11*ตัวคูณ!$B$3)+T11</f>
        <v>15301.118508983815</v>
      </c>
      <c r="V11" s="12">
        <f>(U11*ตัวคูณ!$B$3)+U11</f>
        <v>15454.129694073652</v>
      </c>
      <c r="W11" s="12">
        <f>(V11*ตัวคูณ!$B$3)+V11</f>
        <v>15608.670991014389</v>
      </c>
      <c r="X11" s="12">
        <f>(W11*ตัวคูณ!$B$3)+W11</f>
        <v>15764.757700924532</v>
      </c>
      <c r="Y11" s="12">
        <f>(X11*ตัวคูณ!$B$3)+X11</f>
        <v>15922.405277933778</v>
      </c>
      <c r="Z11" s="12">
        <f>(Y11*ตัวคูณ!$B$3)+Y11</f>
        <v>16081.629330713116</v>
      </c>
      <c r="AA11" s="12">
        <f>(Z11*ตัวคูณ!$B$3)+Z11</f>
        <v>16242.445624020247</v>
      </c>
      <c r="AB11" s="12">
        <f>(AA11*ตัวคูณ!$B$3)+AA11</f>
        <v>16404.870080260451</v>
      </c>
      <c r="AC11" s="12">
        <f>(AB11*ตัวคูณ!$B$3)+AB11</f>
        <v>16568.918781063054</v>
      </c>
      <c r="AD11" s="12">
        <f>(AC11*ตัวคูณ!$B$3)+AC11</f>
        <v>16734.607968873683</v>
      </c>
      <c r="AE11" s="12">
        <f>(AD11*ตัวคูณ!$B$3)+AD11</f>
        <v>16901.95404856242</v>
      </c>
      <c r="AF11" s="12">
        <f>(AE11*ตัวคูณ!$B$3)+AE11</f>
        <v>17070.973589048044</v>
      </c>
      <c r="AG11" s="12">
        <f>(AF11*ตัวคูณ!$B$3)+AF11</f>
        <v>17241.683324938524</v>
      </c>
      <c r="AH11" s="12">
        <f>(AG11*ตัวคูณ!$B$3)+AG11</f>
        <v>17414.10015818791</v>
      </c>
      <c r="AI11" s="12">
        <f>(AH11*ตัวคูณ!$B$3)+AH11</f>
        <v>17588.24115976979</v>
      </c>
      <c r="AJ11" s="12">
        <f>(AI11*ตัวคูณ!$B$3)+AI11</f>
        <v>17764.123571367487</v>
      </c>
      <c r="AK11" s="12">
        <f>(AJ11*ตัวคูณ!$B$3)+AJ11</f>
        <v>17941.764807081163</v>
      </c>
      <c r="AL11" s="12">
        <f>(AK11*ตัวคูณ!$B$3)+AK11</f>
        <v>18121.182455151975</v>
      </c>
      <c r="AM11" s="12">
        <f>(AL11*ตัวคูณ!$B$3)+AL11</f>
        <v>18302.394279703494</v>
      </c>
      <c r="AN11" s="12">
        <f>(AM11*ตัวคูณ!$B$3)+AM11</f>
        <v>18485.418222500528</v>
      </c>
      <c r="AO11" s="12">
        <f>(AN11*ตัวคูณ!$B$3)+AN11</f>
        <v>18670.272404725532</v>
      </c>
      <c r="AP11" s="12">
        <f>(AO11*ตัวคูณ!$B$3)+AO11</f>
        <v>18856.975128772789</v>
      </c>
      <c r="AQ11" s="12">
        <f>(AP11*ตัวคูณ!$B$3)+AP11</f>
        <v>19045.544880060515</v>
      </c>
      <c r="AR11" s="12">
        <f>(AQ11*ตัวคูณ!$B$3)+AQ11</f>
        <v>19236.000328861119</v>
      </c>
      <c r="AS11" s="12">
        <f>(AR11*ตัวคูณ!$B$3)+AR11</f>
        <v>19428.360332149728</v>
      </c>
      <c r="AT11" s="12">
        <f>(AS11*ตัวคูณ!$B$3)+AS11</f>
        <v>19622.643935471227</v>
      </c>
      <c r="AU11" s="12">
        <f>(AT11*ตัวคูณ!$B$3)+AT11</f>
        <v>19818.87037482594</v>
      </c>
      <c r="AV11" s="12">
        <f>(AU11*ตัวคูณ!$B$3)+AU11</f>
        <v>20017.059078574199</v>
      </c>
      <c r="AW11" s="12">
        <f>(AV11*ตัวคูณ!$B$3)+AV11</f>
        <v>20217.229669359942</v>
      </c>
      <c r="AX11" s="12">
        <f>(AW11*ตัวคูณ!$B$3)+AW11</f>
        <v>20419.401966053541</v>
      </c>
      <c r="AY11" s="12">
        <f>(AX11*ตัวคูณ!$B$3)+AX11</f>
        <v>20623.595985714077</v>
      </c>
      <c r="AZ11" s="12">
        <f>(AY11*ตัวคูณ!$B$3)+AY11</f>
        <v>20829.831945571219</v>
      </c>
      <c r="BA11" s="12">
        <f>(AZ11*ตัวคูณ!$B$3)+AZ11</f>
        <v>21038.130265026932</v>
      </c>
      <c r="BB11" s="12">
        <f>(BA11*ตัวคูณ!$B$3)+BA11</f>
        <v>21248.5115676772</v>
      </c>
      <c r="BC11" s="12">
        <f>(BB11*ตัวคูณ!$B$3)+BB11</f>
        <v>21460.996683353973</v>
      </c>
      <c r="BD11" s="12">
        <f>(BC11*ตัวคูณ!$B$3)+BC11</f>
        <v>21675.606650187514</v>
      </c>
      <c r="BE11" s="12">
        <f>(BD11*ตัวคูณ!$B$3)+BD11</f>
        <v>21892.362716689389</v>
      </c>
      <c r="BF11" s="12">
        <f>(BE11*ตัวคูณ!$B$3)+BE11</f>
        <v>22111.286343856282</v>
      </c>
      <c r="BG11" s="12">
        <f>(BF11*ตัวคูณ!$B$3)+BF11</f>
        <v>22332.399207294846</v>
      </c>
      <c r="BH11" s="12">
        <f>(BG11*ตัวคูณ!$B$3)+BG11</f>
        <v>22555.723199367796</v>
      </c>
      <c r="BI11" s="12">
        <f>(BH11*ตัวคูณ!$B$3)+BH11</f>
        <v>22781.280431361472</v>
      </c>
      <c r="BJ11" s="12">
        <f>(BI11*ตัวคูณ!$B$3)+BI11</f>
        <v>23009.093235675085</v>
      </c>
      <c r="BK11" s="12">
        <f>(BJ11*ตัวคูณ!$B$3)+BJ11</f>
        <v>23239.184168031836</v>
      </c>
      <c r="BL11" s="12">
        <f>(BK11*ตัวคูณ!$B$3)+BK11</f>
        <v>23471.576009712153</v>
      </c>
      <c r="BM11" s="12">
        <f>(BL11*ตัวคูณ!$B$3)+BL11</f>
        <v>23706.291769809275</v>
      </c>
      <c r="BN11" s="12">
        <f>(BM11*ตัวคูณ!$B$3)+BM11</f>
        <v>23943.354687507366</v>
      </c>
      <c r="BO11" s="12">
        <f>(BN11*ตัวคูณ!$B$3)+BN11</f>
        <v>24182.788234382439</v>
      </c>
      <c r="BP11" s="12">
        <f>(BO11*ตัวคูณ!$B$3)+BO11</f>
        <v>24424.616116726262</v>
      </c>
      <c r="BQ11" s="12">
        <f>(BP11*ตัวคูณ!$B$3)+BP11</f>
        <v>24668.862277893524</v>
      </c>
      <c r="BR11" s="12">
        <f>(BQ11*ตัวคูณ!$B$3)+BQ11</f>
        <v>24915.550900672461</v>
      </c>
      <c r="BS11" s="12">
        <f>(BR11*ตัวคูณ!$B$3)+BR11</f>
        <v>25164.706409679184</v>
      </c>
      <c r="BT11" s="12">
        <f>(BS11*ตัวคูณ!$B$3)+BS11</f>
        <v>25416.353473775976</v>
      </c>
      <c r="BU11" s="12">
        <f>(BT11*ตัวคูณ!$B$3)+BT11</f>
        <v>25670.517008513736</v>
      </c>
      <c r="BV11" s="12">
        <f>(BU11*ตัวคูณ!$B$3)+BU11</f>
        <v>25927.222178598873</v>
      </c>
      <c r="BW11" s="12">
        <f>(BV11*ตัวคูณ!$B$3)+BV11</f>
        <v>26186.494400384861</v>
      </c>
      <c r="BX11" s="12">
        <f>(BW11*ตัวคูณ!$B$3)+BW11</f>
        <v>26448.359344388711</v>
      </c>
      <c r="BY11" s="12">
        <f>(BX11*ตัวคูณ!$B$3)+BX11</f>
        <v>26712.8429378326</v>
      </c>
      <c r="BZ11" s="12">
        <f>(BY11*ตัวคูณ!$B$3)+BY11</f>
        <v>26979.971367210925</v>
      </c>
      <c r="CA11" s="12">
        <f>(BZ11*ตัวคูณ!$B$3)+BZ11</f>
        <v>27249.771080883034</v>
      </c>
      <c r="CB11" s="12">
        <f>(CA11*ตัวคูณ!$B$3)+CA11</f>
        <v>27522.268791691866</v>
      </c>
      <c r="CC11" s="12">
        <f>(CB11*ตัวคูณ!$B$3)+CB11</f>
        <v>27797.491479608783</v>
      </c>
      <c r="CD11" s="12">
        <f>(CC11*ตัวคูณ!$B$3)+CC11</f>
        <v>28075.46639440487</v>
      </c>
      <c r="CE11" s="12">
        <f>(CD11*ตัวคูณ!$B$3)+CD11</f>
        <v>28356.221058348918</v>
      </c>
      <c r="CF11" s="12">
        <f>(CE11*ตัวคูณ!$B$3)+CE11</f>
        <v>28639.783268932406</v>
      </c>
      <c r="CG11" s="12">
        <f>(CF11*ตัวคูณ!$B$3)+CF11</f>
        <v>28926.181101621729</v>
      </c>
      <c r="CH11" s="12">
        <f>(CG11*ตัวคูณ!$B$3)+CG11</f>
        <v>29215.442912637947</v>
      </c>
      <c r="CI11" s="12">
        <f>(CH11*ตัวคูณ!$B$3)+CH11</f>
        <v>29507.597341764325</v>
      </c>
      <c r="CJ11" s="12">
        <f>(CI11*ตัวคูณ!$B$3)+CI11</f>
        <v>29802.673315181968</v>
      </c>
      <c r="CK11" s="12">
        <f>(CJ11*ตัวคูณ!$B$3)+CJ11</f>
        <v>30100.700048333787</v>
      </c>
      <c r="CL11" s="12">
        <f>(CK11*ตัวคูณ!$B$3)+CK11</f>
        <v>30401.707048817127</v>
      </c>
      <c r="CM11" s="12">
        <f>(CL11*ตัวคูณ!$B$3)+CL11</f>
        <v>30705.724119305298</v>
      </c>
    </row>
    <row r="12" spans="1:91" ht="13.2">
      <c r="A12" s="10" t="s">
        <v>93</v>
      </c>
      <c r="B12" s="11">
        <v>9000</v>
      </c>
      <c r="C12" s="12">
        <f>(B12*4%)+B12</f>
        <v>9360</v>
      </c>
      <c r="D12" s="12">
        <f>(C12*ตัวคูณ!$B$3)+C12</f>
        <v>9453.6</v>
      </c>
      <c r="E12" s="12">
        <f>(D12*ตัวคูณ!$B$3)+D12</f>
        <v>9548.1360000000004</v>
      </c>
      <c r="F12" s="12">
        <f>(E12*ตัวคูณ!$B$3)+E12</f>
        <v>9643.6173600000002</v>
      </c>
      <c r="G12" s="12">
        <f>(F12*ตัวคูณ!$B$3)+F12</f>
        <v>9740.0535335999994</v>
      </c>
      <c r="H12" s="12">
        <f>(G12*ตัวคูณ!$B$3)+G12</f>
        <v>9837.4540689360001</v>
      </c>
      <c r="I12" s="12">
        <f>(H12*ตัวคูณ!$B$3)+H12</f>
        <v>9935.8286096253596</v>
      </c>
      <c r="J12" s="12">
        <f>(I12*ตัวคูณ!$B$3)+I12</f>
        <v>10035.186895721614</v>
      </c>
      <c r="K12" s="12">
        <f>(J12*ตัวคูณ!$B$3)+J12</f>
        <v>10135.538764678829</v>
      </c>
      <c r="L12" s="12">
        <f>(K12*ตัวคูณ!$B$3)+K12</f>
        <v>10236.894152325618</v>
      </c>
      <c r="M12" s="13">
        <f>(L12*ตัวคูณ!$B$3)+L12</f>
        <v>10339.263093848875</v>
      </c>
      <c r="N12" s="12">
        <f>(M12*ตัวคูณ!$B$3)+M12</f>
        <v>10442.655724787362</v>
      </c>
      <c r="O12" s="12">
        <f>(N12*ตัวคูณ!$B$3)+N12</f>
        <v>10547.082282035237</v>
      </c>
      <c r="P12" s="12">
        <f>(O12*ตัวคูณ!$B$3)+O12</f>
        <v>10652.553104855589</v>
      </c>
      <c r="Q12" s="12">
        <f>(P12*ตัวคูณ!$B$3)+P12</f>
        <v>10759.078635904145</v>
      </c>
      <c r="R12" s="12">
        <f>(Q12*ตัวคูณ!$B$3)+Q12</f>
        <v>10866.669422263187</v>
      </c>
      <c r="S12" s="12">
        <f>(R12*ตัวคูณ!$B$3)+R12</f>
        <v>10975.336116485818</v>
      </c>
      <c r="T12" s="12">
        <f>(S12*ตัวคูณ!$B$3)+S12</f>
        <v>11085.089477650676</v>
      </c>
      <c r="U12" s="12">
        <f>(T12*ตัวคูณ!$B$3)+T12</f>
        <v>11195.940372427183</v>
      </c>
      <c r="V12" s="12">
        <f>(U12*ตัวคูณ!$B$3)+U12</f>
        <v>11307.899776151455</v>
      </c>
      <c r="W12" s="12">
        <f>(V12*ตัวคูณ!$B$3)+V12</f>
        <v>11420.97877391297</v>
      </c>
      <c r="X12" s="12">
        <f>(W12*ตัวคูณ!$B$3)+W12</f>
        <v>11535.188561652099</v>
      </c>
      <c r="Y12" s="12">
        <f>(X12*ตัวคูณ!$B$3)+X12</f>
        <v>11650.54044726862</v>
      </c>
      <c r="Z12" s="12">
        <f>(Y12*ตัวคูณ!$B$3)+Y12</f>
        <v>11767.045851741306</v>
      </c>
      <c r="AA12" s="12">
        <f>(Z12*ตัวคูณ!$B$3)+Z12</f>
        <v>11884.71631025872</v>
      </c>
      <c r="AB12" s="12">
        <f>(AA12*ตัวคูณ!$B$3)+AA12</f>
        <v>12003.563473361308</v>
      </c>
      <c r="AC12" s="12">
        <f>(AB12*ตัวคูณ!$B$3)+AB12</f>
        <v>12123.599108094921</v>
      </c>
      <c r="AD12" s="12">
        <f>(AC12*ตัวคูณ!$B$3)+AC12</f>
        <v>12244.835099175871</v>
      </c>
      <c r="AE12" s="12">
        <f>(AD12*ตัวคูณ!$B$3)+AD12</f>
        <v>12367.28345016763</v>
      </c>
      <c r="AF12" s="12">
        <f>(AE12*ตัวคูณ!$B$3)+AE12</f>
        <v>12490.956284669306</v>
      </c>
      <c r="AG12" s="12">
        <f>(AF12*ตัวคูณ!$B$3)+AF12</f>
        <v>12615.865847515999</v>
      </c>
      <c r="AH12" s="12">
        <f>(AG12*ตัวคูณ!$B$3)+AG12</f>
        <v>12742.024505991159</v>
      </c>
      <c r="AI12" s="12">
        <f>(AH12*ตัวคูณ!$B$3)+AH12</f>
        <v>12869.444751051071</v>
      </c>
      <c r="AJ12" s="12">
        <f>(AI12*ตัวคูณ!$B$3)+AI12</f>
        <v>12998.139198561581</v>
      </c>
      <c r="AK12" s="12">
        <f>(AJ12*ตัวคูณ!$B$3)+AJ12</f>
        <v>13128.120590547196</v>
      </c>
      <c r="AL12" s="12">
        <f>(AK12*ตัวคูณ!$B$3)+AK12</f>
        <v>13259.401796452668</v>
      </c>
      <c r="AM12" s="12">
        <f>(AL12*ตัวคูณ!$B$3)+AL12</f>
        <v>13391.995814417194</v>
      </c>
      <c r="AN12" s="12">
        <f>(AM12*ตัวคูณ!$B$3)+AM12</f>
        <v>13525.915772561366</v>
      </c>
      <c r="AO12" s="12">
        <f>(AN12*ตัวคูณ!$B$3)+AN12</f>
        <v>13661.174930286979</v>
      </c>
      <c r="AP12" s="12">
        <f>(AO12*ตัวคูณ!$B$3)+AO12</f>
        <v>13797.78667958985</v>
      </c>
      <c r="AQ12" s="12">
        <f>(AP12*ตัวคูณ!$B$3)+AP12</f>
        <v>13935.764546385748</v>
      </c>
      <c r="AR12" s="12">
        <f>(AQ12*ตัวคูณ!$B$3)+AQ12</f>
        <v>14075.122191849605</v>
      </c>
      <c r="AS12" s="12">
        <f>(AR12*ตัวคูณ!$B$3)+AR12</f>
        <v>14215.8734137681</v>
      </c>
      <c r="AT12" s="12">
        <f>(AS12*ตัวคูณ!$B$3)+AS12</f>
        <v>14358.032147905782</v>
      </c>
      <c r="AU12" s="12">
        <f>(AT12*ตัวคูณ!$B$3)+AT12</f>
        <v>14501.61246938484</v>
      </c>
      <c r="AV12" s="12">
        <f>(AU12*ตัวคูณ!$B$3)+AU12</f>
        <v>14646.628594078687</v>
      </c>
      <c r="AW12" s="12">
        <f>(AV12*ตัวคูณ!$B$3)+AV12</f>
        <v>14793.094880019475</v>
      </c>
      <c r="AX12" s="12">
        <f>(AW12*ตัวคูณ!$B$3)+AW12</f>
        <v>14941.025828819669</v>
      </c>
      <c r="AY12" s="12">
        <f>(AX12*ตัวคูณ!$B$3)+AX12</f>
        <v>15090.436087107866</v>
      </c>
      <c r="AZ12" s="12">
        <f>(AY12*ตัวคูณ!$B$3)+AY12</f>
        <v>15241.340447978944</v>
      </c>
      <c r="BA12" s="12">
        <f>(AZ12*ตัวคูณ!$B$3)+AZ12</f>
        <v>15393.753852458734</v>
      </c>
      <c r="BB12" s="12">
        <f>(BA12*ตัวคูณ!$B$3)+BA12</f>
        <v>15547.691390983322</v>
      </c>
      <c r="BC12" s="12">
        <f>(BB12*ตัวคูณ!$B$3)+BB12</f>
        <v>15703.168304893155</v>
      </c>
      <c r="BD12" s="12">
        <f>(BC12*ตัวคูณ!$B$3)+BC12</f>
        <v>15860.199987942087</v>
      </c>
      <c r="BE12" s="12">
        <f>(BD12*ตัวคูณ!$B$3)+BD12</f>
        <v>16018.801987821509</v>
      </c>
      <c r="BF12" s="12">
        <f>(BE12*ตัวคูณ!$B$3)+BE12</f>
        <v>16178.990007699724</v>
      </c>
      <c r="BG12" s="12">
        <f>(BF12*ตัวคูณ!$B$3)+BF12</f>
        <v>16340.779907776721</v>
      </c>
      <c r="BH12" s="12">
        <f>(BG12*ตัวคูณ!$B$3)+BG12</f>
        <v>16504.187706854489</v>
      </c>
      <c r="BI12" s="12">
        <f>(BH12*ตัวคูณ!$B$3)+BH12</f>
        <v>16669.229583923036</v>
      </c>
      <c r="BJ12" s="12">
        <f>(BI12*ตัวคูณ!$B$3)+BI12</f>
        <v>16835.921879762267</v>
      </c>
      <c r="BK12" s="12">
        <f>(BJ12*ตัวคูณ!$B$3)+BJ12</f>
        <v>17004.281098559888</v>
      </c>
      <c r="BL12" s="12">
        <f>(BK12*ตัวคูณ!$B$3)+BK12</f>
        <v>17174.323909545488</v>
      </c>
      <c r="BM12" s="12">
        <f>(BL12*ตัวคูณ!$B$3)+BL12</f>
        <v>17346.067148640945</v>
      </c>
      <c r="BN12" s="12">
        <f>(BM12*ตัวคูณ!$B$3)+BM12</f>
        <v>17519.527820127354</v>
      </c>
      <c r="BO12" s="12">
        <f>(BN12*ตัวคูณ!$B$3)+BN12</f>
        <v>17694.723098328628</v>
      </c>
      <c r="BP12" s="12">
        <f>(BO12*ตัวคูณ!$B$3)+BO12</f>
        <v>17871.670329311914</v>
      </c>
      <c r="BQ12" s="12">
        <f>(BP12*ตัวคูณ!$B$3)+BP12</f>
        <v>18050.387032605031</v>
      </c>
      <c r="BR12" s="12">
        <f>(BQ12*ตัวคูณ!$B$3)+BQ12</f>
        <v>18230.890902931082</v>
      </c>
      <c r="BS12" s="12">
        <f>(BR12*ตัวคูณ!$B$3)+BR12</f>
        <v>18413.199811960392</v>
      </c>
      <c r="BT12" s="12">
        <f>(BS12*ตัวคูณ!$B$3)+BS12</f>
        <v>18597.331810079995</v>
      </c>
      <c r="BU12" s="12">
        <f>(BT12*ตัวคูณ!$B$3)+BT12</f>
        <v>18783.305128180797</v>
      </c>
      <c r="BV12" s="12">
        <f>(BU12*ตัวคูณ!$B$3)+BU12</f>
        <v>18971.138179462603</v>
      </c>
      <c r="BW12" s="12">
        <f>(BV12*ตัวคูณ!$B$3)+BV12</f>
        <v>19160.84956125723</v>
      </c>
      <c r="BX12" s="12">
        <f>(BW12*ตัวคูณ!$B$3)+BW12</f>
        <v>19352.4580568698</v>
      </c>
      <c r="BY12" s="12">
        <f>(BX12*ตัวคูณ!$B$3)+BX12</f>
        <v>19545.982637438497</v>
      </c>
      <c r="BZ12" s="12">
        <f>(BY12*ตัวคูณ!$B$3)+BY12</f>
        <v>19741.442463812884</v>
      </c>
      <c r="CA12" s="12">
        <f>(BZ12*ตัวคูณ!$B$3)+BZ12</f>
        <v>19938.856888451013</v>
      </c>
      <c r="CB12" s="12">
        <f>(CA12*ตัวคูณ!$B$3)+CA12</f>
        <v>20138.245457335524</v>
      </c>
      <c r="CC12" s="12">
        <f>(CB12*ตัวคูณ!$B$3)+CB12</f>
        <v>20339.627911908879</v>
      </c>
      <c r="CD12" s="12">
        <f>(CC12*ตัวคูณ!$B$3)+CC12</f>
        <v>20543.024191027969</v>
      </c>
      <c r="CE12" s="12">
        <f>(CD12*ตัวคูณ!$B$3)+CD12</f>
        <v>20748.454432938248</v>
      </c>
      <c r="CF12" s="12">
        <f>(CE12*ตัวคูณ!$B$3)+CE12</f>
        <v>20955.93897726763</v>
      </c>
      <c r="CG12" s="12">
        <f>(CF12*ตัวคูณ!$B$3)+CF12</f>
        <v>21165.498367040305</v>
      </c>
      <c r="CH12" s="12">
        <f>(CG12*ตัวคูณ!$B$3)+CG12</f>
        <v>21377.153350710709</v>
      </c>
      <c r="CI12" s="12">
        <f>(CH12*ตัวคูณ!$B$3)+CH12</f>
        <v>21590.924884217817</v>
      </c>
      <c r="CJ12" s="12">
        <f>(CI12*ตัวคูณ!$B$3)+CI12</f>
        <v>21806.834133059994</v>
      </c>
      <c r="CK12" s="12">
        <f>(CJ12*ตัวคูณ!$B$3)+CJ12</f>
        <v>22024.902474390594</v>
      </c>
      <c r="CL12" s="12">
        <f>(CK12*ตัวคูณ!$B$3)+CK12</f>
        <v>22245.151499134499</v>
      </c>
      <c r="CM12" s="12">
        <f>(CL12*ตัวคูณ!$B$3)+CL12</f>
        <v>22467.603014125845</v>
      </c>
    </row>
    <row r="13" spans="1:91" ht="13.2">
      <c r="A13" s="10" t="s">
        <v>94</v>
      </c>
      <c r="B13" s="11">
        <v>18000</v>
      </c>
      <c r="C13" s="12">
        <f>(B13*4%)+B13</f>
        <v>18720</v>
      </c>
      <c r="D13" s="12">
        <f>(C13*ตัวคูณ!$B$3)+C13</f>
        <v>18907.2</v>
      </c>
      <c r="E13" s="12">
        <f>(D13*ตัวคูณ!$B$3)+D13</f>
        <v>19096.272000000001</v>
      </c>
      <c r="F13" s="12">
        <f>(E13*ตัวคูณ!$B$3)+E13</f>
        <v>19287.23472</v>
      </c>
      <c r="G13" s="12">
        <f>(F13*ตัวคูณ!$B$3)+F13</f>
        <v>19480.107067199999</v>
      </c>
      <c r="H13" s="12">
        <f>(G13*ตัวคูณ!$B$3)+G13</f>
        <v>19674.908137872</v>
      </c>
      <c r="I13" s="12">
        <f>(H13*ตัวคูณ!$B$3)+H13</f>
        <v>19871.657219250719</v>
      </c>
      <c r="J13" s="12">
        <f>(I13*ตัวคูณ!$B$3)+I13</f>
        <v>20070.373791443228</v>
      </c>
      <c r="K13" s="12">
        <f>(J13*ตัวคูณ!$B$3)+J13</f>
        <v>20271.077529357659</v>
      </c>
      <c r="L13" s="12">
        <f>(K13*ตัวคูณ!$B$3)+K13</f>
        <v>20473.788304651236</v>
      </c>
      <c r="M13" s="13">
        <f>(L13*ตัวคูณ!$B$3)+L13</f>
        <v>20678.526187697749</v>
      </c>
      <c r="N13" s="12">
        <f>(M13*ตัวคูณ!$B$3)+M13</f>
        <v>20885.311449574725</v>
      </c>
      <c r="O13" s="12">
        <f>(N13*ตัวคูณ!$B$3)+N13</f>
        <v>21094.164564070474</v>
      </c>
      <c r="P13" s="12">
        <f>(O13*ตัวคูณ!$B$3)+O13</f>
        <v>21305.106209711179</v>
      </c>
      <c r="Q13" s="12">
        <f>(P13*ตัวคูณ!$B$3)+P13</f>
        <v>21518.15727180829</v>
      </c>
      <c r="R13" s="12">
        <f>(Q13*ตัวคูณ!$B$3)+Q13</f>
        <v>21733.338844526374</v>
      </c>
      <c r="S13" s="12">
        <f>(R13*ตัวคูณ!$B$3)+R13</f>
        <v>21950.672232971636</v>
      </c>
      <c r="T13" s="12">
        <f>(S13*ตัวคูณ!$B$3)+S13</f>
        <v>22170.178955301351</v>
      </c>
      <c r="U13" s="12">
        <f>(T13*ตัวคูณ!$B$3)+T13</f>
        <v>22391.880744854367</v>
      </c>
      <c r="V13" s="12">
        <f>(U13*ตัวคูณ!$B$3)+U13</f>
        <v>22615.799552302909</v>
      </c>
      <c r="W13" s="12">
        <f>(V13*ตัวคูณ!$B$3)+V13</f>
        <v>22841.957547825939</v>
      </c>
      <c r="X13" s="12">
        <f>(W13*ตัวคูณ!$B$3)+W13</f>
        <v>23070.377123304199</v>
      </c>
      <c r="Y13" s="12">
        <f>(X13*ตัวคูณ!$B$3)+X13</f>
        <v>23301.080894537241</v>
      </c>
      <c r="Z13" s="12">
        <f>(Y13*ตัวคูณ!$B$3)+Y13</f>
        <v>23534.091703482613</v>
      </c>
      <c r="AA13" s="12">
        <f>(Z13*ตัวคูณ!$B$3)+Z13</f>
        <v>23769.43262051744</v>
      </c>
      <c r="AB13" s="12">
        <f>(AA13*ตัวคูณ!$B$3)+AA13</f>
        <v>24007.126946722616</v>
      </c>
      <c r="AC13" s="12">
        <f>(AB13*ตัวคูณ!$B$3)+AB13</f>
        <v>24247.198216189841</v>
      </c>
      <c r="AD13" s="12">
        <f>(AC13*ตัวคูณ!$B$3)+AC13</f>
        <v>24489.670198351741</v>
      </c>
      <c r="AE13" s="12">
        <f>(AD13*ตัวคูณ!$B$3)+AD13</f>
        <v>24734.56690033526</v>
      </c>
      <c r="AF13" s="12">
        <f>(AE13*ตัวคูณ!$B$3)+AE13</f>
        <v>24981.912569338612</v>
      </c>
      <c r="AG13" s="12">
        <f>(AF13*ตัวคูณ!$B$3)+AF13</f>
        <v>25231.731695031998</v>
      </c>
      <c r="AH13" s="12">
        <f>(AG13*ตัวคูณ!$B$3)+AG13</f>
        <v>25484.049011982319</v>
      </c>
      <c r="AI13" s="12">
        <f>(AH13*ตัวคูณ!$B$3)+AH13</f>
        <v>25738.889502102142</v>
      </c>
      <c r="AJ13" s="12">
        <f>(AI13*ตัวคูณ!$B$3)+AI13</f>
        <v>25996.278397123162</v>
      </c>
      <c r="AK13" s="12">
        <f>(AJ13*ตัวคูณ!$B$3)+AJ13</f>
        <v>26256.241181094392</v>
      </c>
      <c r="AL13" s="12">
        <f>(AK13*ตัวคูณ!$B$3)+AK13</f>
        <v>26518.803592905337</v>
      </c>
      <c r="AM13" s="12">
        <f>(AL13*ตัวคูณ!$B$3)+AL13</f>
        <v>26783.991628834388</v>
      </c>
      <c r="AN13" s="12">
        <f>(AM13*ตัวคูณ!$B$3)+AM13</f>
        <v>27051.831545122732</v>
      </c>
      <c r="AO13" s="12">
        <f>(AN13*ตัวคูณ!$B$3)+AN13</f>
        <v>27322.349860573959</v>
      </c>
      <c r="AP13" s="12">
        <f>(AO13*ตัวคูณ!$B$3)+AO13</f>
        <v>27595.5733591797</v>
      </c>
      <c r="AQ13" s="12">
        <f>(AP13*ตัวคูณ!$B$3)+AP13</f>
        <v>27871.529092771496</v>
      </c>
      <c r="AR13" s="12">
        <f>(AQ13*ตัวคูณ!$B$3)+AQ13</f>
        <v>28150.24438369921</v>
      </c>
      <c r="AS13" s="12">
        <f>(AR13*ตัวคูณ!$B$3)+AR13</f>
        <v>28431.746827536201</v>
      </c>
      <c r="AT13" s="12">
        <f>(AS13*ตัวคูณ!$B$3)+AS13</f>
        <v>28716.064295811564</v>
      </c>
      <c r="AU13" s="12">
        <f>(AT13*ตัวคูณ!$B$3)+AT13</f>
        <v>29003.224938769679</v>
      </c>
      <c r="AV13" s="12">
        <f>(AU13*ตัวคูณ!$B$3)+AU13</f>
        <v>29293.257188157375</v>
      </c>
      <c r="AW13" s="12">
        <f>(AV13*ตัวคูณ!$B$3)+AV13</f>
        <v>29586.189760038949</v>
      </c>
      <c r="AX13" s="12">
        <f>(AW13*ตัวคูณ!$B$3)+AW13</f>
        <v>29882.051657639338</v>
      </c>
      <c r="AY13" s="12">
        <f>(AX13*ตัวคูณ!$B$3)+AX13</f>
        <v>30180.872174215732</v>
      </c>
      <c r="AZ13" s="12">
        <f>(AY13*ตัวคูณ!$B$3)+AY13</f>
        <v>30482.680895957888</v>
      </c>
      <c r="BA13" s="12">
        <f>(AZ13*ตัวคูณ!$B$3)+AZ13</f>
        <v>30787.507704917469</v>
      </c>
      <c r="BB13" s="12">
        <f>(BA13*ตัวคูณ!$B$3)+BA13</f>
        <v>31095.382781966644</v>
      </c>
      <c r="BC13" s="12">
        <f>(BB13*ตัวคูณ!$B$3)+BB13</f>
        <v>31406.336609786311</v>
      </c>
      <c r="BD13" s="12">
        <f>(BC13*ตัวคูณ!$B$3)+BC13</f>
        <v>31720.399975884175</v>
      </c>
      <c r="BE13" s="12">
        <f>(BD13*ตัวคูณ!$B$3)+BD13</f>
        <v>32037.603975643018</v>
      </c>
      <c r="BF13" s="12">
        <f>(BE13*ตัวคูณ!$B$3)+BE13</f>
        <v>32357.980015399447</v>
      </c>
      <c r="BG13" s="12">
        <f>(BF13*ตัวคูณ!$B$3)+BF13</f>
        <v>32681.559815553443</v>
      </c>
      <c r="BH13" s="12">
        <f>(BG13*ตัวคูณ!$B$3)+BG13</f>
        <v>33008.375413708978</v>
      </c>
      <c r="BI13" s="12">
        <f>(BH13*ตัวคูณ!$B$3)+BH13</f>
        <v>33338.459167846071</v>
      </c>
      <c r="BJ13" s="12">
        <f>(BI13*ตัวคูณ!$B$3)+BI13</f>
        <v>33671.843759524534</v>
      </c>
      <c r="BK13" s="12">
        <f>(BJ13*ตัวคูณ!$B$3)+BJ13</f>
        <v>34008.562197119776</v>
      </c>
      <c r="BL13" s="12">
        <f>(BK13*ตัวคูณ!$B$3)+BK13</f>
        <v>34348.647819090977</v>
      </c>
      <c r="BM13" s="12">
        <f>(BL13*ตัวคูณ!$B$3)+BL13</f>
        <v>34692.134297281889</v>
      </c>
      <c r="BN13" s="12">
        <f>(BM13*ตัวคูณ!$B$3)+BM13</f>
        <v>35039.055640254708</v>
      </c>
      <c r="BO13" s="12">
        <f>(BN13*ตัวคูณ!$B$3)+BN13</f>
        <v>35389.446196657256</v>
      </c>
      <c r="BP13" s="12">
        <f>(BO13*ตัวคูณ!$B$3)+BO13</f>
        <v>35743.340658623827</v>
      </c>
      <c r="BQ13" s="12">
        <f>(BP13*ตัวคูณ!$B$3)+BP13</f>
        <v>36100.774065210062</v>
      </c>
      <c r="BR13" s="12">
        <f>(BQ13*ตัวคูณ!$B$3)+BQ13</f>
        <v>36461.781805862163</v>
      </c>
      <c r="BS13" s="12">
        <f>(BR13*ตัวคูณ!$B$3)+BR13</f>
        <v>36826.399623920785</v>
      </c>
      <c r="BT13" s="12">
        <f>(BS13*ตัวคูณ!$B$3)+BS13</f>
        <v>37194.66362015999</v>
      </c>
      <c r="BU13" s="12">
        <f>(BT13*ตัวคูณ!$B$3)+BT13</f>
        <v>37566.610256361593</v>
      </c>
      <c r="BV13" s="12">
        <f>(BU13*ตัวคูณ!$B$3)+BU13</f>
        <v>37942.276358925206</v>
      </c>
      <c r="BW13" s="12">
        <f>(BV13*ตัวคูณ!$B$3)+BV13</f>
        <v>38321.699122514459</v>
      </c>
      <c r="BX13" s="12">
        <f>(BW13*ตัวคูณ!$B$3)+BW13</f>
        <v>38704.9161137396</v>
      </c>
      <c r="BY13" s="12">
        <f>(BX13*ตัวคูณ!$B$3)+BX13</f>
        <v>39091.965274876995</v>
      </c>
      <c r="BZ13" s="12">
        <f>(BY13*ตัวคูณ!$B$3)+BY13</f>
        <v>39482.884927625768</v>
      </c>
      <c r="CA13" s="12">
        <f>(BZ13*ตัวคูณ!$B$3)+BZ13</f>
        <v>39877.713776902026</v>
      </c>
      <c r="CB13" s="12">
        <f>(CA13*ตัวคูณ!$B$3)+CA13</f>
        <v>40276.490914671049</v>
      </c>
      <c r="CC13" s="12">
        <f>(CB13*ตัวคูณ!$B$3)+CB13</f>
        <v>40679.255823817759</v>
      </c>
      <c r="CD13" s="12">
        <f>(CC13*ตัวคูณ!$B$3)+CC13</f>
        <v>41086.048382055938</v>
      </c>
      <c r="CE13" s="12">
        <f>(CD13*ตัวคูณ!$B$3)+CD13</f>
        <v>41496.908865876496</v>
      </c>
      <c r="CF13" s="12">
        <f>(CE13*ตัวคูณ!$B$3)+CE13</f>
        <v>41911.877954535259</v>
      </c>
      <c r="CG13" s="12">
        <f>(CF13*ตัวคูณ!$B$3)+CF13</f>
        <v>42330.996734080611</v>
      </c>
      <c r="CH13" s="12">
        <f>(CG13*ตัวคูณ!$B$3)+CG13</f>
        <v>42754.306701421418</v>
      </c>
      <c r="CI13" s="12">
        <f>(CH13*ตัวคูณ!$B$3)+CH13</f>
        <v>43181.849768435633</v>
      </c>
      <c r="CJ13" s="12">
        <f>(CI13*ตัวคูณ!$B$3)+CI13</f>
        <v>43613.668266119988</v>
      </c>
      <c r="CK13" s="12">
        <f>(CJ13*ตัวคูณ!$B$3)+CJ13</f>
        <v>44049.804948781188</v>
      </c>
      <c r="CL13" s="12">
        <f>(CK13*ตัวคูณ!$B$3)+CK13</f>
        <v>44490.302998268999</v>
      </c>
      <c r="CM13" s="12">
        <f>(CL13*ตัวคูณ!$B$3)+CL13</f>
        <v>44935.20602825169</v>
      </c>
    </row>
    <row r="14" spans="1:91" ht="13.2">
      <c r="A14" s="10" t="s">
        <v>95</v>
      </c>
      <c r="B14" s="11">
        <v>4300</v>
      </c>
      <c r="C14" s="12">
        <f>(B14*4%)+B14</f>
        <v>4472</v>
      </c>
      <c r="D14" s="12">
        <f>(C14*ตัวคูณ!$B$3)+C14</f>
        <v>4516.72</v>
      </c>
      <c r="E14" s="12">
        <f>(D14*ตัวคูณ!$B$3)+D14</f>
        <v>4561.8872000000001</v>
      </c>
      <c r="F14" s="12">
        <f>(E14*ตัวคูณ!$B$3)+E14</f>
        <v>4607.5060720000001</v>
      </c>
      <c r="G14" s="12">
        <f>(F14*ตัวคูณ!$B$3)+F14</f>
        <v>4653.5811327199999</v>
      </c>
      <c r="H14" s="12">
        <f>(G14*ตัวคูณ!$B$3)+G14</f>
        <v>4700.1169440471995</v>
      </c>
      <c r="I14" s="12">
        <f>(H14*ตัวคูณ!$B$3)+H14</f>
        <v>4747.1181134876715</v>
      </c>
      <c r="J14" s="12">
        <f>(I14*ตัวคูณ!$B$3)+I14</f>
        <v>4794.5892946225486</v>
      </c>
      <c r="K14" s="12">
        <f>(J14*ตัวคูณ!$B$3)+J14</f>
        <v>4842.5351875687738</v>
      </c>
      <c r="L14" s="12">
        <f>(K14*ตัวคูณ!$B$3)+K14</f>
        <v>4890.9605394444616</v>
      </c>
      <c r="M14" s="13">
        <f>(L14*ตัวคูณ!$B$3)+L14</f>
        <v>4939.8701448389065</v>
      </c>
      <c r="N14" s="12">
        <f>(M14*ตัวคูณ!$B$3)+M14</f>
        <v>4989.2688462872957</v>
      </c>
      <c r="O14" s="12">
        <f>(N14*ตัวคูณ!$B$3)+N14</f>
        <v>5039.1615347501684</v>
      </c>
      <c r="P14" s="12">
        <f>(O14*ตัวคูณ!$B$3)+O14</f>
        <v>5089.5531500976704</v>
      </c>
      <c r="Q14" s="12">
        <f>(P14*ตัวคูณ!$B$3)+P14</f>
        <v>5140.4486815986475</v>
      </c>
      <c r="R14" s="12">
        <f>(Q14*ตัวคูณ!$B$3)+Q14</f>
        <v>5191.8531684146337</v>
      </c>
      <c r="S14" s="12">
        <f>(R14*ตัวคูณ!$B$3)+R14</f>
        <v>5243.7717000987805</v>
      </c>
      <c r="T14" s="12">
        <f>(S14*ตัวคูณ!$B$3)+S14</f>
        <v>5296.209417099768</v>
      </c>
      <c r="U14" s="12">
        <f>(T14*ตัวคูณ!$B$3)+T14</f>
        <v>5349.1715112707652</v>
      </c>
      <c r="V14" s="12">
        <f>(U14*ตัวคูณ!$B$3)+U14</f>
        <v>5402.6632263834726</v>
      </c>
      <c r="W14" s="12">
        <f>(V14*ตัวคูณ!$B$3)+V14</f>
        <v>5456.6898586473071</v>
      </c>
      <c r="X14" s="12">
        <f>(W14*ตัวคูณ!$B$3)+W14</f>
        <v>5511.2567572337803</v>
      </c>
      <c r="Y14" s="12">
        <f>(X14*ตัวคูณ!$B$3)+X14</f>
        <v>5566.3693248061181</v>
      </c>
      <c r="Z14" s="12">
        <f>(Y14*ตัวคูณ!$B$3)+Y14</f>
        <v>5622.0330180541796</v>
      </c>
      <c r="AA14" s="12">
        <f>(Z14*ตัวคูณ!$B$3)+Z14</f>
        <v>5678.2533482347217</v>
      </c>
      <c r="AB14" s="12">
        <f>(AA14*ตัวคูณ!$B$3)+AA14</f>
        <v>5735.0358817170691</v>
      </c>
      <c r="AC14" s="12">
        <f>(AB14*ตัวคูณ!$B$3)+AB14</f>
        <v>5792.3862405342397</v>
      </c>
      <c r="AD14" s="12">
        <f>(AC14*ตัวคูณ!$B$3)+AC14</f>
        <v>5850.3101029395821</v>
      </c>
      <c r="AE14" s="12">
        <f>(AD14*ตัวคูณ!$B$3)+AD14</f>
        <v>5908.8132039689781</v>
      </c>
      <c r="AF14" s="12">
        <f>(AE14*ตัวคูณ!$B$3)+AE14</f>
        <v>5967.9013360086683</v>
      </c>
      <c r="AG14" s="12">
        <f>(AF14*ตัวคูณ!$B$3)+AF14</f>
        <v>6027.5803493687554</v>
      </c>
      <c r="AH14" s="12">
        <f>(AG14*ตัวคูณ!$B$3)+AG14</f>
        <v>6087.8561528624432</v>
      </c>
      <c r="AI14" s="12">
        <f>(AH14*ตัวคูณ!$B$3)+AH14</f>
        <v>6148.7347143910674</v>
      </c>
      <c r="AJ14" s="12">
        <f>(AI14*ตัวคูณ!$B$3)+AI14</f>
        <v>6210.2220615349779</v>
      </c>
      <c r="AK14" s="12">
        <f>(AJ14*ตัวคูณ!$B$3)+AJ14</f>
        <v>6272.3242821503281</v>
      </c>
      <c r="AL14" s="12">
        <f>(AK14*ตัวคูณ!$B$3)+AK14</f>
        <v>6335.0475249718311</v>
      </c>
      <c r="AM14" s="12">
        <f>(AL14*ตัวคูณ!$B$3)+AL14</f>
        <v>6398.3980002215494</v>
      </c>
      <c r="AN14" s="12">
        <f>(AM14*ตัวคูณ!$B$3)+AM14</f>
        <v>6462.3819802237649</v>
      </c>
      <c r="AO14" s="12">
        <f>(AN14*ตัวคูณ!$B$3)+AN14</f>
        <v>6527.0058000260024</v>
      </c>
      <c r="AP14" s="12">
        <f>(AO14*ตัวคูณ!$B$3)+AO14</f>
        <v>6592.2758580262625</v>
      </c>
      <c r="AQ14" s="12">
        <f>(AP14*ตัวคูณ!$B$3)+AP14</f>
        <v>6658.1986166065253</v>
      </c>
      <c r="AR14" s="12">
        <f>(AQ14*ตัวคูณ!$B$3)+AQ14</f>
        <v>6724.780602772591</v>
      </c>
      <c r="AS14" s="12">
        <f>(AR14*ตัวคูณ!$B$3)+AR14</f>
        <v>6792.0284088003173</v>
      </c>
      <c r="AT14" s="12">
        <f>(AS14*ตัวคูณ!$B$3)+AS14</f>
        <v>6859.9486928883207</v>
      </c>
      <c r="AU14" s="12">
        <f>(AT14*ตัวคูณ!$B$3)+AT14</f>
        <v>6928.5481798172041</v>
      </c>
      <c r="AV14" s="12">
        <f>(AU14*ตัวคูณ!$B$3)+AU14</f>
        <v>6997.8336616153765</v>
      </c>
      <c r="AW14" s="12">
        <f>(AV14*ตัวคูณ!$B$3)+AV14</f>
        <v>7067.8119982315302</v>
      </c>
      <c r="AX14" s="12">
        <f>(AW14*ตัวคูณ!$B$3)+AW14</f>
        <v>7138.4901182138456</v>
      </c>
      <c r="AY14" s="12">
        <f>(AX14*ตัวคูณ!$B$3)+AX14</f>
        <v>7209.8750193959841</v>
      </c>
      <c r="AZ14" s="12">
        <f>(AY14*ตัวคูณ!$B$3)+AY14</f>
        <v>7281.9737695899439</v>
      </c>
      <c r="BA14" s="12">
        <f>(AZ14*ตัวคูณ!$B$3)+AZ14</f>
        <v>7354.7935072858436</v>
      </c>
      <c r="BB14" s="12">
        <f>(BA14*ตัวคูณ!$B$3)+BA14</f>
        <v>7428.3414423587019</v>
      </c>
      <c r="BC14" s="12">
        <f>(BB14*ตัวคูณ!$B$3)+BB14</f>
        <v>7502.6248567822886</v>
      </c>
      <c r="BD14" s="12">
        <f>(BC14*ตัวคูณ!$B$3)+BC14</f>
        <v>7577.6511053501117</v>
      </c>
      <c r="BE14" s="12">
        <f>(BD14*ตัวคูณ!$B$3)+BD14</f>
        <v>7653.4276164036128</v>
      </c>
      <c r="BF14" s="12">
        <f>(BE14*ตัวคูณ!$B$3)+BE14</f>
        <v>7729.9618925676486</v>
      </c>
      <c r="BG14" s="12">
        <f>(BF14*ตัวคูณ!$B$3)+BF14</f>
        <v>7807.2615114933251</v>
      </c>
      <c r="BH14" s="12">
        <f>(BG14*ตัวคูณ!$B$3)+BG14</f>
        <v>7885.334126608258</v>
      </c>
      <c r="BI14" s="12">
        <f>(BH14*ตัวคูณ!$B$3)+BH14</f>
        <v>7964.1874678743407</v>
      </c>
      <c r="BJ14" s="12">
        <f>(BI14*ตัวคูณ!$B$3)+BI14</f>
        <v>8043.8293425530837</v>
      </c>
      <c r="BK14" s="12">
        <f>(BJ14*ตัวคูณ!$B$3)+BJ14</f>
        <v>8124.2676359786146</v>
      </c>
      <c r="BL14" s="12">
        <f>(BK14*ตัวคูณ!$B$3)+BK14</f>
        <v>8205.5103123384015</v>
      </c>
      <c r="BM14" s="12">
        <f>(BL14*ตัวคูณ!$B$3)+BL14</f>
        <v>8287.565415461786</v>
      </c>
      <c r="BN14" s="12">
        <f>(BM14*ตัวคูณ!$B$3)+BM14</f>
        <v>8370.4410696164032</v>
      </c>
      <c r="BO14" s="12">
        <f>(BN14*ตัวคูณ!$B$3)+BN14</f>
        <v>8454.1454803125671</v>
      </c>
      <c r="BP14" s="12">
        <f>(BO14*ตัวคูณ!$B$3)+BO14</f>
        <v>8538.6869351156929</v>
      </c>
      <c r="BQ14" s="12">
        <f>(BP14*ตัวคูณ!$B$3)+BP14</f>
        <v>8624.0738044668506</v>
      </c>
      <c r="BR14" s="12">
        <f>(BQ14*ตัวคูณ!$B$3)+BQ14</f>
        <v>8710.3145425115199</v>
      </c>
      <c r="BS14" s="12">
        <f>(BR14*ตัวคูณ!$B$3)+BR14</f>
        <v>8797.417687936635</v>
      </c>
      <c r="BT14" s="12">
        <f>(BS14*ตัวคูณ!$B$3)+BS14</f>
        <v>8885.3918648160015</v>
      </c>
      <c r="BU14" s="12">
        <f>(BT14*ตัวคูณ!$B$3)+BT14</f>
        <v>8974.2457834641609</v>
      </c>
      <c r="BV14" s="12">
        <f>(BU14*ตัวคูณ!$B$3)+BU14</f>
        <v>9063.9882412988027</v>
      </c>
      <c r="BW14" s="12">
        <f>(BV14*ตัวคูณ!$B$3)+BV14</f>
        <v>9154.628123711791</v>
      </c>
      <c r="BX14" s="12">
        <f>(BW14*ตัวคูณ!$B$3)+BW14</f>
        <v>9246.1744049489098</v>
      </c>
      <c r="BY14" s="12">
        <f>(BX14*ตัวคูณ!$B$3)+BX14</f>
        <v>9338.6361489983992</v>
      </c>
      <c r="BZ14" s="12">
        <f>(BY14*ตัวคูณ!$B$3)+BY14</f>
        <v>9432.022510488383</v>
      </c>
      <c r="CA14" s="12">
        <f>(BZ14*ตัวคูณ!$B$3)+BZ14</f>
        <v>9526.3427355932672</v>
      </c>
      <c r="CB14" s="12">
        <f>(CA14*ตัวคูณ!$B$3)+CA14</f>
        <v>9621.6061629491996</v>
      </c>
      <c r="CC14" s="12">
        <f>(CB14*ตัวคูณ!$B$3)+CB14</f>
        <v>9717.822224578691</v>
      </c>
      <c r="CD14" s="12">
        <f>(CC14*ตัวคูณ!$B$3)+CC14</f>
        <v>9815.0004468244788</v>
      </c>
      <c r="CE14" s="12">
        <f>(CD14*ตัวคูณ!$B$3)+CD14</f>
        <v>9913.150451292724</v>
      </c>
      <c r="CF14" s="12">
        <f>(CE14*ตัวคูณ!$B$3)+CE14</f>
        <v>10012.281955805651</v>
      </c>
      <c r="CG14" s="12">
        <f>(CF14*ตัวคูณ!$B$3)+CF14</f>
        <v>10112.404775363708</v>
      </c>
      <c r="CH14" s="12">
        <f>(CG14*ตัวคูณ!$B$3)+CG14</f>
        <v>10213.528823117345</v>
      </c>
      <c r="CI14" s="12">
        <f>(CH14*ตัวคูณ!$B$3)+CH14</f>
        <v>10315.664111348518</v>
      </c>
      <c r="CJ14" s="12">
        <f>(CI14*ตัวคูณ!$B$3)+CI14</f>
        <v>10418.820752462003</v>
      </c>
      <c r="CK14" s="12">
        <f>(CJ14*ตัวคูณ!$B$3)+CJ14</f>
        <v>10523.008959986622</v>
      </c>
      <c r="CL14" s="12">
        <f>(CK14*ตัวคูณ!$B$3)+CK14</f>
        <v>10628.239049586489</v>
      </c>
      <c r="CM14" s="12">
        <f>(CL14*ตัวคูณ!$B$3)+CL14</f>
        <v>10734.521440082353</v>
      </c>
    </row>
    <row r="15" spans="1:91" ht="13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</row>
    <row r="16" spans="1:91" ht="13.2">
      <c r="A16" s="14"/>
      <c r="B16" s="14"/>
      <c r="C16" s="14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</row>
    <row r="17" spans="1:91" ht="15.75" customHeight="1">
      <c r="A17" s="23" t="s">
        <v>97</v>
      </c>
      <c r="B17" s="24">
        <f>A1</f>
        <v>0.01</v>
      </c>
      <c r="C17" s="25">
        <f>ตัวคูณ!B3</f>
        <v>0.01</v>
      </c>
      <c r="D17" s="26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</row>
    <row r="18" spans="1:91" ht="13.2">
      <c r="A18" s="27"/>
      <c r="B18" s="27"/>
      <c r="C18" s="27"/>
      <c r="D18" s="1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</row>
    <row r="19" spans="1:91" ht="13.2">
      <c r="A19" s="28" t="s">
        <v>2</v>
      </c>
      <c r="B19" s="28">
        <v>33</v>
      </c>
      <c r="C19" s="28" t="s">
        <v>3</v>
      </c>
      <c r="D19" s="29" t="s">
        <v>4</v>
      </c>
      <c r="E19" s="28" t="s">
        <v>5</v>
      </c>
      <c r="F19" s="28" t="s">
        <v>6</v>
      </c>
      <c r="G19" s="28" t="s">
        <v>7</v>
      </c>
      <c r="H19" s="28" t="s">
        <v>8</v>
      </c>
      <c r="I19" s="28" t="s">
        <v>9</v>
      </c>
      <c r="J19" s="28" t="s">
        <v>10</v>
      </c>
      <c r="K19" s="28" t="s">
        <v>11</v>
      </c>
      <c r="L19" s="28" t="s">
        <v>12</v>
      </c>
      <c r="M19" s="30" t="s">
        <v>13</v>
      </c>
      <c r="N19" s="28" t="s">
        <v>14</v>
      </c>
      <c r="O19" s="28" t="s">
        <v>15</v>
      </c>
      <c r="P19" s="28" t="s">
        <v>16</v>
      </c>
      <c r="Q19" s="28" t="s">
        <v>17</v>
      </c>
      <c r="R19" s="28" t="s">
        <v>18</v>
      </c>
      <c r="S19" s="28" t="s">
        <v>19</v>
      </c>
      <c r="T19" s="28" t="s">
        <v>20</v>
      </c>
      <c r="U19" s="28" t="s">
        <v>21</v>
      </c>
      <c r="V19" s="28" t="s">
        <v>22</v>
      </c>
      <c r="W19" s="28" t="s">
        <v>23</v>
      </c>
      <c r="X19" s="28" t="s">
        <v>24</v>
      </c>
      <c r="Y19" s="28" t="s">
        <v>25</v>
      </c>
      <c r="Z19" s="28" t="s">
        <v>26</v>
      </c>
      <c r="AA19" s="28" t="s">
        <v>27</v>
      </c>
      <c r="AB19" s="28" t="s">
        <v>28</v>
      </c>
      <c r="AC19" s="28" t="s">
        <v>29</v>
      </c>
      <c r="AD19" s="28" t="s">
        <v>30</v>
      </c>
      <c r="AE19" s="28" t="s">
        <v>31</v>
      </c>
      <c r="AF19" s="28" t="s">
        <v>32</v>
      </c>
      <c r="AG19" s="28" t="s">
        <v>33</v>
      </c>
      <c r="AH19" s="28" t="s">
        <v>34</v>
      </c>
      <c r="AI19" s="28" t="s">
        <v>35</v>
      </c>
      <c r="AJ19" s="28" t="s">
        <v>36</v>
      </c>
      <c r="AK19" s="28" t="s">
        <v>37</v>
      </c>
      <c r="AL19" s="28" t="s">
        <v>38</v>
      </c>
      <c r="AM19" s="28" t="s">
        <v>39</v>
      </c>
      <c r="AN19" s="28" t="s">
        <v>40</v>
      </c>
      <c r="AO19" s="28" t="s">
        <v>41</v>
      </c>
      <c r="AP19" s="28" t="s">
        <v>42</v>
      </c>
      <c r="AQ19" s="28" t="s">
        <v>43</v>
      </c>
      <c r="AR19" s="28" t="s">
        <v>44</v>
      </c>
      <c r="AS19" s="28" t="s">
        <v>45</v>
      </c>
      <c r="AT19" s="28" t="s">
        <v>46</v>
      </c>
      <c r="AU19" s="28" t="s">
        <v>47</v>
      </c>
      <c r="AV19" s="28" t="s">
        <v>48</v>
      </c>
      <c r="AW19" s="28" t="s">
        <v>49</v>
      </c>
      <c r="AX19" s="28" t="s">
        <v>50</v>
      </c>
      <c r="AY19" s="28" t="s">
        <v>51</v>
      </c>
      <c r="AZ19" s="28" t="s">
        <v>52</v>
      </c>
      <c r="BA19" s="28" t="s">
        <v>53</v>
      </c>
      <c r="BB19" s="28" t="s">
        <v>54</v>
      </c>
      <c r="BC19" s="28" t="s">
        <v>55</v>
      </c>
      <c r="BD19" s="28" t="s">
        <v>56</v>
      </c>
      <c r="BE19" s="28" t="s">
        <v>57</v>
      </c>
      <c r="BF19" s="28" t="s">
        <v>58</v>
      </c>
      <c r="BG19" s="28" t="s">
        <v>59</v>
      </c>
      <c r="BH19" s="28" t="s">
        <v>60</v>
      </c>
      <c r="BI19" s="28" t="s">
        <v>61</v>
      </c>
      <c r="BJ19" s="28" t="s">
        <v>62</v>
      </c>
      <c r="BK19" s="28" t="s">
        <v>63</v>
      </c>
      <c r="BL19" s="28" t="s">
        <v>64</v>
      </c>
      <c r="BM19" s="28" t="s">
        <v>65</v>
      </c>
      <c r="BN19" s="28" t="s">
        <v>66</v>
      </c>
      <c r="BO19" s="28" t="s">
        <v>67</v>
      </c>
      <c r="BP19" s="28" t="s">
        <v>68</v>
      </c>
      <c r="BQ19" s="28" t="s">
        <v>69</v>
      </c>
      <c r="BR19" s="28" t="s">
        <v>70</v>
      </c>
      <c r="BS19" s="28" t="s">
        <v>71</v>
      </c>
      <c r="BT19" s="28" t="s">
        <v>72</v>
      </c>
      <c r="BU19" s="28" t="s">
        <v>73</v>
      </c>
      <c r="BV19" s="28" t="s">
        <v>74</v>
      </c>
      <c r="BW19" s="28" t="s">
        <v>75</v>
      </c>
      <c r="BX19" s="28" t="s">
        <v>76</v>
      </c>
      <c r="BY19" s="28" t="s">
        <v>77</v>
      </c>
      <c r="BZ19" s="28" t="s">
        <v>78</v>
      </c>
      <c r="CA19" s="28" t="s">
        <v>79</v>
      </c>
      <c r="CB19" s="28" t="s">
        <v>80</v>
      </c>
      <c r="CC19" s="28" t="s">
        <v>81</v>
      </c>
      <c r="CD19" s="28" t="s">
        <v>82</v>
      </c>
      <c r="CE19" s="28" t="s">
        <v>83</v>
      </c>
      <c r="CF19" s="28" t="s">
        <v>84</v>
      </c>
      <c r="CG19" s="28" t="s">
        <v>85</v>
      </c>
      <c r="CH19" s="28" t="s">
        <v>86</v>
      </c>
      <c r="CI19" s="28" t="s">
        <v>87</v>
      </c>
      <c r="CJ19" s="28" t="s">
        <v>88</v>
      </c>
      <c r="CK19" s="28" t="s">
        <v>89</v>
      </c>
      <c r="CL19" s="28" t="s">
        <v>90</v>
      </c>
      <c r="CM19" s="28" t="s">
        <v>91</v>
      </c>
    </row>
    <row r="20" spans="1:91" ht="13.2">
      <c r="A20" s="10" t="s">
        <v>92</v>
      </c>
      <c r="B20" s="11">
        <v>12300</v>
      </c>
      <c r="C20" s="12">
        <f t="shared" ref="C20:AH20" si="0">C3-C11</f>
        <v>0</v>
      </c>
      <c r="D20" s="12">
        <f t="shared" si="0"/>
        <v>0</v>
      </c>
      <c r="E20" s="12">
        <f t="shared" si="0"/>
        <v>0</v>
      </c>
      <c r="F20" s="12">
        <f t="shared" si="0"/>
        <v>0</v>
      </c>
      <c r="G20" s="12">
        <f t="shared" si="0"/>
        <v>0</v>
      </c>
      <c r="H20" s="12">
        <f t="shared" si="0"/>
        <v>0</v>
      </c>
      <c r="I20" s="12">
        <f t="shared" si="0"/>
        <v>0</v>
      </c>
      <c r="J20" s="12">
        <f t="shared" si="0"/>
        <v>0</v>
      </c>
      <c r="K20" s="12">
        <f t="shared" si="0"/>
        <v>0</v>
      </c>
      <c r="L20" s="12">
        <f t="shared" si="0"/>
        <v>0</v>
      </c>
      <c r="M20" s="12">
        <f t="shared" si="0"/>
        <v>0</v>
      </c>
      <c r="N20" s="12">
        <f t="shared" si="0"/>
        <v>0</v>
      </c>
      <c r="O20" s="12">
        <f t="shared" si="0"/>
        <v>0</v>
      </c>
      <c r="P20" s="12">
        <f t="shared" si="0"/>
        <v>0</v>
      </c>
      <c r="Q20" s="12">
        <f t="shared" si="0"/>
        <v>0</v>
      </c>
      <c r="R20" s="12">
        <f t="shared" si="0"/>
        <v>0</v>
      </c>
      <c r="S20" s="12">
        <f t="shared" si="0"/>
        <v>0</v>
      </c>
      <c r="T20" s="12">
        <f t="shared" si="0"/>
        <v>0</v>
      </c>
      <c r="U20" s="12">
        <f t="shared" si="0"/>
        <v>0</v>
      </c>
      <c r="V20" s="12">
        <f t="shared" si="0"/>
        <v>0</v>
      </c>
      <c r="W20" s="12">
        <f t="shared" si="0"/>
        <v>0</v>
      </c>
      <c r="X20" s="12">
        <f t="shared" si="0"/>
        <v>0</v>
      </c>
      <c r="Y20" s="12">
        <f t="shared" si="0"/>
        <v>0</v>
      </c>
      <c r="Z20" s="12">
        <f t="shared" si="0"/>
        <v>0</v>
      </c>
      <c r="AA20" s="12">
        <f t="shared" si="0"/>
        <v>0</v>
      </c>
      <c r="AB20" s="12">
        <f t="shared" si="0"/>
        <v>0</v>
      </c>
      <c r="AC20" s="12">
        <f t="shared" si="0"/>
        <v>0</v>
      </c>
      <c r="AD20" s="12">
        <f t="shared" si="0"/>
        <v>0</v>
      </c>
      <c r="AE20" s="12">
        <f t="shared" si="0"/>
        <v>0</v>
      </c>
      <c r="AF20" s="12">
        <f t="shared" si="0"/>
        <v>0</v>
      </c>
      <c r="AG20" s="12">
        <f t="shared" si="0"/>
        <v>0</v>
      </c>
      <c r="AH20" s="12">
        <f t="shared" si="0"/>
        <v>0</v>
      </c>
      <c r="AI20" s="12">
        <f t="shared" ref="AI20:BN20" si="1">AI3-AI11</f>
        <v>0</v>
      </c>
      <c r="AJ20" s="12">
        <f t="shared" si="1"/>
        <v>0</v>
      </c>
      <c r="AK20" s="12">
        <f t="shared" si="1"/>
        <v>0</v>
      </c>
      <c r="AL20" s="12">
        <f t="shared" si="1"/>
        <v>0</v>
      </c>
      <c r="AM20" s="12">
        <f t="shared" si="1"/>
        <v>0</v>
      </c>
      <c r="AN20" s="12">
        <f t="shared" si="1"/>
        <v>0</v>
      </c>
      <c r="AO20" s="12">
        <f t="shared" si="1"/>
        <v>0</v>
      </c>
      <c r="AP20" s="12">
        <f t="shared" si="1"/>
        <v>0</v>
      </c>
      <c r="AQ20" s="12">
        <f t="shared" si="1"/>
        <v>0</v>
      </c>
      <c r="AR20" s="12">
        <f t="shared" si="1"/>
        <v>0</v>
      </c>
      <c r="AS20" s="12">
        <f t="shared" si="1"/>
        <v>0</v>
      </c>
      <c r="AT20" s="12">
        <f t="shared" si="1"/>
        <v>0</v>
      </c>
      <c r="AU20" s="12">
        <f t="shared" si="1"/>
        <v>0</v>
      </c>
      <c r="AV20" s="12">
        <f t="shared" si="1"/>
        <v>0</v>
      </c>
      <c r="AW20" s="12">
        <f t="shared" si="1"/>
        <v>0</v>
      </c>
      <c r="AX20" s="12">
        <f t="shared" si="1"/>
        <v>0</v>
      </c>
      <c r="AY20" s="12">
        <f t="shared" si="1"/>
        <v>0</v>
      </c>
      <c r="AZ20" s="12">
        <f t="shared" si="1"/>
        <v>0</v>
      </c>
      <c r="BA20" s="12">
        <f t="shared" si="1"/>
        <v>0</v>
      </c>
      <c r="BB20" s="12">
        <f t="shared" si="1"/>
        <v>0</v>
      </c>
      <c r="BC20" s="12">
        <f t="shared" si="1"/>
        <v>0</v>
      </c>
      <c r="BD20" s="12">
        <f t="shared" si="1"/>
        <v>0</v>
      </c>
      <c r="BE20" s="12">
        <f t="shared" si="1"/>
        <v>0</v>
      </c>
      <c r="BF20" s="12">
        <f t="shared" si="1"/>
        <v>0</v>
      </c>
      <c r="BG20" s="12">
        <f t="shared" si="1"/>
        <v>0</v>
      </c>
      <c r="BH20" s="12">
        <f t="shared" si="1"/>
        <v>0</v>
      </c>
      <c r="BI20" s="12">
        <f t="shared" si="1"/>
        <v>0</v>
      </c>
      <c r="BJ20" s="12">
        <f t="shared" si="1"/>
        <v>0</v>
      </c>
      <c r="BK20" s="12">
        <f t="shared" si="1"/>
        <v>0</v>
      </c>
      <c r="BL20" s="12">
        <f t="shared" si="1"/>
        <v>0</v>
      </c>
      <c r="BM20" s="12">
        <f t="shared" si="1"/>
        <v>0</v>
      </c>
      <c r="BN20" s="12">
        <f t="shared" si="1"/>
        <v>0</v>
      </c>
      <c r="BO20" s="12">
        <f t="shared" ref="BO20:CM20" si="2">BO3-BO11</f>
        <v>0</v>
      </c>
      <c r="BP20" s="12">
        <f t="shared" si="2"/>
        <v>0</v>
      </c>
      <c r="BQ20" s="12">
        <f t="shared" si="2"/>
        <v>0</v>
      </c>
      <c r="BR20" s="12">
        <f t="shared" si="2"/>
        <v>0</v>
      </c>
      <c r="BS20" s="12">
        <f t="shared" si="2"/>
        <v>0</v>
      </c>
      <c r="BT20" s="12">
        <f t="shared" si="2"/>
        <v>0</v>
      </c>
      <c r="BU20" s="12">
        <f t="shared" si="2"/>
        <v>0</v>
      </c>
      <c r="BV20" s="12">
        <f t="shared" si="2"/>
        <v>0</v>
      </c>
      <c r="BW20" s="12">
        <f t="shared" si="2"/>
        <v>0</v>
      </c>
      <c r="BX20" s="12">
        <f t="shared" si="2"/>
        <v>0</v>
      </c>
      <c r="BY20" s="12">
        <f t="shared" si="2"/>
        <v>0</v>
      </c>
      <c r="BZ20" s="12">
        <f t="shared" si="2"/>
        <v>0</v>
      </c>
      <c r="CA20" s="12">
        <f t="shared" si="2"/>
        <v>0</v>
      </c>
      <c r="CB20" s="12">
        <f t="shared" si="2"/>
        <v>0</v>
      </c>
      <c r="CC20" s="12">
        <f t="shared" si="2"/>
        <v>0</v>
      </c>
      <c r="CD20" s="12">
        <f t="shared" si="2"/>
        <v>0</v>
      </c>
      <c r="CE20" s="12">
        <f t="shared" si="2"/>
        <v>0</v>
      </c>
      <c r="CF20" s="12">
        <f t="shared" si="2"/>
        <v>0</v>
      </c>
      <c r="CG20" s="12">
        <f t="shared" si="2"/>
        <v>0</v>
      </c>
      <c r="CH20" s="12">
        <f t="shared" si="2"/>
        <v>0</v>
      </c>
      <c r="CI20" s="12">
        <f t="shared" si="2"/>
        <v>0</v>
      </c>
      <c r="CJ20" s="12">
        <f t="shared" si="2"/>
        <v>0</v>
      </c>
      <c r="CK20" s="12">
        <f t="shared" si="2"/>
        <v>0</v>
      </c>
      <c r="CL20" s="12">
        <f t="shared" si="2"/>
        <v>0</v>
      </c>
      <c r="CM20" s="12">
        <f t="shared" si="2"/>
        <v>0</v>
      </c>
    </row>
    <row r="21" spans="1:91" ht="13.2">
      <c r="A21" s="10" t="s">
        <v>93</v>
      </c>
      <c r="B21" s="11">
        <v>9000</v>
      </c>
      <c r="C21" s="12">
        <f t="shared" ref="C21:AH21" si="3">C4-C12</f>
        <v>0</v>
      </c>
      <c r="D21" s="12">
        <f t="shared" si="3"/>
        <v>0</v>
      </c>
      <c r="E21" s="12">
        <f t="shared" si="3"/>
        <v>0</v>
      </c>
      <c r="F21" s="12">
        <f t="shared" si="3"/>
        <v>0</v>
      </c>
      <c r="G21" s="12">
        <f t="shared" si="3"/>
        <v>0</v>
      </c>
      <c r="H21" s="12">
        <f t="shared" si="3"/>
        <v>0</v>
      </c>
      <c r="I21" s="12">
        <f t="shared" si="3"/>
        <v>0</v>
      </c>
      <c r="J21" s="12">
        <f t="shared" si="3"/>
        <v>0</v>
      </c>
      <c r="K21" s="12">
        <f t="shared" si="3"/>
        <v>0</v>
      </c>
      <c r="L21" s="12">
        <f t="shared" si="3"/>
        <v>0</v>
      </c>
      <c r="M21" s="12">
        <f t="shared" si="3"/>
        <v>0</v>
      </c>
      <c r="N21" s="12">
        <f t="shared" si="3"/>
        <v>0</v>
      </c>
      <c r="O21" s="12">
        <f t="shared" si="3"/>
        <v>0</v>
      </c>
      <c r="P21" s="12">
        <f t="shared" si="3"/>
        <v>0</v>
      </c>
      <c r="Q21" s="12">
        <f t="shared" si="3"/>
        <v>0</v>
      </c>
      <c r="R21" s="12">
        <f t="shared" si="3"/>
        <v>0</v>
      </c>
      <c r="S21" s="12">
        <f t="shared" si="3"/>
        <v>0</v>
      </c>
      <c r="T21" s="12">
        <f t="shared" si="3"/>
        <v>0</v>
      </c>
      <c r="U21" s="12">
        <f t="shared" si="3"/>
        <v>0</v>
      </c>
      <c r="V21" s="12">
        <f t="shared" si="3"/>
        <v>0</v>
      </c>
      <c r="W21" s="12">
        <f t="shared" si="3"/>
        <v>0</v>
      </c>
      <c r="X21" s="12">
        <f t="shared" si="3"/>
        <v>0</v>
      </c>
      <c r="Y21" s="12">
        <f t="shared" si="3"/>
        <v>0</v>
      </c>
      <c r="Z21" s="12">
        <f t="shared" si="3"/>
        <v>0</v>
      </c>
      <c r="AA21" s="12">
        <f t="shared" si="3"/>
        <v>0</v>
      </c>
      <c r="AB21" s="12">
        <f t="shared" si="3"/>
        <v>0</v>
      </c>
      <c r="AC21" s="12">
        <f t="shared" si="3"/>
        <v>0</v>
      </c>
      <c r="AD21" s="12">
        <f t="shared" si="3"/>
        <v>0</v>
      </c>
      <c r="AE21" s="12">
        <f t="shared" si="3"/>
        <v>0</v>
      </c>
      <c r="AF21" s="12">
        <f t="shared" si="3"/>
        <v>0</v>
      </c>
      <c r="AG21" s="12">
        <f t="shared" si="3"/>
        <v>0</v>
      </c>
      <c r="AH21" s="12">
        <f t="shared" si="3"/>
        <v>0</v>
      </c>
      <c r="AI21" s="12">
        <f t="shared" ref="AI21:BN21" si="4">AI4-AI12</f>
        <v>0</v>
      </c>
      <c r="AJ21" s="12">
        <f t="shared" si="4"/>
        <v>0</v>
      </c>
      <c r="AK21" s="12">
        <f t="shared" si="4"/>
        <v>0</v>
      </c>
      <c r="AL21" s="12">
        <f t="shared" si="4"/>
        <v>0</v>
      </c>
      <c r="AM21" s="12">
        <f t="shared" si="4"/>
        <v>0</v>
      </c>
      <c r="AN21" s="12">
        <f t="shared" si="4"/>
        <v>0</v>
      </c>
      <c r="AO21" s="12">
        <f t="shared" si="4"/>
        <v>0</v>
      </c>
      <c r="AP21" s="12">
        <f t="shared" si="4"/>
        <v>0</v>
      </c>
      <c r="AQ21" s="12">
        <f t="shared" si="4"/>
        <v>0</v>
      </c>
      <c r="AR21" s="12">
        <f t="shared" si="4"/>
        <v>0</v>
      </c>
      <c r="AS21" s="12">
        <f t="shared" si="4"/>
        <v>0</v>
      </c>
      <c r="AT21" s="12">
        <f t="shared" si="4"/>
        <v>0</v>
      </c>
      <c r="AU21" s="12">
        <f t="shared" si="4"/>
        <v>0</v>
      </c>
      <c r="AV21" s="12">
        <f t="shared" si="4"/>
        <v>0</v>
      </c>
      <c r="AW21" s="12">
        <f t="shared" si="4"/>
        <v>0</v>
      </c>
      <c r="AX21" s="12">
        <f t="shared" si="4"/>
        <v>0</v>
      </c>
      <c r="AY21" s="12">
        <f t="shared" si="4"/>
        <v>0</v>
      </c>
      <c r="AZ21" s="12">
        <f t="shared" si="4"/>
        <v>0</v>
      </c>
      <c r="BA21" s="12">
        <f t="shared" si="4"/>
        <v>0</v>
      </c>
      <c r="BB21" s="12">
        <f t="shared" si="4"/>
        <v>0</v>
      </c>
      <c r="BC21" s="12">
        <f t="shared" si="4"/>
        <v>0</v>
      </c>
      <c r="BD21" s="12">
        <f t="shared" si="4"/>
        <v>0</v>
      </c>
      <c r="BE21" s="12">
        <f t="shared" si="4"/>
        <v>0</v>
      </c>
      <c r="BF21" s="12">
        <f t="shared" si="4"/>
        <v>0</v>
      </c>
      <c r="BG21" s="12">
        <f t="shared" si="4"/>
        <v>0</v>
      </c>
      <c r="BH21" s="12">
        <f t="shared" si="4"/>
        <v>0</v>
      </c>
      <c r="BI21" s="12">
        <f t="shared" si="4"/>
        <v>0</v>
      </c>
      <c r="BJ21" s="12">
        <f t="shared" si="4"/>
        <v>0</v>
      </c>
      <c r="BK21" s="12">
        <f t="shared" si="4"/>
        <v>0</v>
      </c>
      <c r="BL21" s="12">
        <f t="shared" si="4"/>
        <v>0</v>
      </c>
      <c r="BM21" s="12">
        <f t="shared" si="4"/>
        <v>0</v>
      </c>
      <c r="BN21" s="12">
        <f t="shared" si="4"/>
        <v>0</v>
      </c>
      <c r="BO21" s="12">
        <f t="shared" ref="BO21:CM21" si="5">BO4-BO12</f>
        <v>0</v>
      </c>
      <c r="BP21" s="12">
        <f t="shared" si="5"/>
        <v>0</v>
      </c>
      <c r="BQ21" s="12">
        <f t="shared" si="5"/>
        <v>0</v>
      </c>
      <c r="BR21" s="12">
        <f t="shared" si="5"/>
        <v>0</v>
      </c>
      <c r="BS21" s="12">
        <f t="shared" si="5"/>
        <v>0</v>
      </c>
      <c r="BT21" s="12">
        <f t="shared" si="5"/>
        <v>0</v>
      </c>
      <c r="BU21" s="12">
        <f t="shared" si="5"/>
        <v>0</v>
      </c>
      <c r="BV21" s="12">
        <f t="shared" si="5"/>
        <v>0</v>
      </c>
      <c r="BW21" s="12">
        <f t="shared" si="5"/>
        <v>0</v>
      </c>
      <c r="BX21" s="12">
        <f t="shared" si="5"/>
        <v>0</v>
      </c>
      <c r="BY21" s="12">
        <f t="shared" si="5"/>
        <v>0</v>
      </c>
      <c r="BZ21" s="12">
        <f t="shared" si="5"/>
        <v>0</v>
      </c>
      <c r="CA21" s="12">
        <f t="shared" si="5"/>
        <v>0</v>
      </c>
      <c r="CB21" s="12">
        <f t="shared" si="5"/>
        <v>0</v>
      </c>
      <c r="CC21" s="12">
        <f t="shared" si="5"/>
        <v>0</v>
      </c>
      <c r="CD21" s="12">
        <f t="shared" si="5"/>
        <v>0</v>
      </c>
      <c r="CE21" s="12">
        <f t="shared" si="5"/>
        <v>0</v>
      </c>
      <c r="CF21" s="12">
        <f t="shared" si="5"/>
        <v>0</v>
      </c>
      <c r="CG21" s="12">
        <f t="shared" si="5"/>
        <v>0</v>
      </c>
      <c r="CH21" s="12">
        <f t="shared" si="5"/>
        <v>0</v>
      </c>
      <c r="CI21" s="12">
        <f t="shared" si="5"/>
        <v>0</v>
      </c>
      <c r="CJ21" s="12">
        <f t="shared" si="5"/>
        <v>0</v>
      </c>
      <c r="CK21" s="12">
        <f t="shared" si="5"/>
        <v>0</v>
      </c>
      <c r="CL21" s="12">
        <f t="shared" si="5"/>
        <v>0</v>
      </c>
      <c r="CM21" s="12">
        <f t="shared" si="5"/>
        <v>0</v>
      </c>
    </row>
    <row r="22" spans="1:91" ht="13.2">
      <c r="A22" s="10" t="s">
        <v>94</v>
      </c>
      <c r="B22" s="11">
        <v>18000</v>
      </c>
      <c r="C22" s="12">
        <f t="shared" ref="C22:AH22" si="6">C5-C13</f>
        <v>0</v>
      </c>
      <c r="D22" s="12">
        <f t="shared" si="6"/>
        <v>0</v>
      </c>
      <c r="E22" s="12">
        <f t="shared" si="6"/>
        <v>0</v>
      </c>
      <c r="F22" s="12">
        <f t="shared" si="6"/>
        <v>0</v>
      </c>
      <c r="G22" s="12">
        <f t="shared" si="6"/>
        <v>0</v>
      </c>
      <c r="H22" s="12">
        <f t="shared" si="6"/>
        <v>0</v>
      </c>
      <c r="I22" s="12">
        <f t="shared" si="6"/>
        <v>0</v>
      </c>
      <c r="J22" s="12">
        <f t="shared" si="6"/>
        <v>0</v>
      </c>
      <c r="K22" s="12">
        <f t="shared" si="6"/>
        <v>0</v>
      </c>
      <c r="L22" s="12">
        <f t="shared" si="6"/>
        <v>0</v>
      </c>
      <c r="M22" s="12">
        <f t="shared" si="6"/>
        <v>0</v>
      </c>
      <c r="N22" s="12">
        <f t="shared" si="6"/>
        <v>0</v>
      </c>
      <c r="O22" s="12">
        <f t="shared" si="6"/>
        <v>0</v>
      </c>
      <c r="P22" s="12">
        <f t="shared" si="6"/>
        <v>0</v>
      </c>
      <c r="Q22" s="12">
        <f t="shared" si="6"/>
        <v>0</v>
      </c>
      <c r="R22" s="12">
        <f t="shared" si="6"/>
        <v>0</v>
      </c>
      <c r="S22" s="12">
        <f t="shared" si="6"/>
        <v>0</v>
      </c>
      <c r="T22" s="12">
        <f t="shared" si="6"/>
        <v>0</v>
      </c>
      <c r="U22" s="12">
        <f t="shared" si="6"/>
        <v>0</v>
      </c>
      <c r="V22" s="12">
        <f t="shared" si="6"/>
        <v>0</v>
      </c>
      <c r="W22" s="12">
        <f t="shared" si="6"/>
        <v>0</v>
      </c>
      <c r="X22" s="12">
        <f t="shared" si="6"/>
        <v>0</v>
      </c>
      <c r="Y22" s="12">
        <f t="shared" si="6"/>
        <v>0</v>
      </c>
      <c r="Z22" s="12">
        <f t="shared" si="6"/>
        <v>0</v>
      </c>
      <c r="AA22" s="12">
        <f t="shared" si="6"/>
        <v>0</v>
      </c>
      <c r="AB22" s="12">
        <f t="shared" si="6"/>
        <v>0</v>
      </c>
      <c r="AC22" s="12">
        <f t="shared" si="6"/>
        <v>0</v>
      </c>
      <c r="AD22" s="12">
        <f t="shared" si="6"/>
        <v>0</v>
      </c>
      <c r="AE22" s="12">
        <f t="shared" si="6"/>
        <v>0</v>
      </c>
      <c r="AF22" s="12">
        <f t="shared" si="6"/>
        <v>0</v>
      </c>
      <c r="AG22" s="12">
        <f t="shared" si="6"/>
        <v>0</v>
      </c>
      <c r="AH22" s="12">
        <f t="shared" si="6"/>
        <v>0</v>
      </c>
      <c r="AI22" s="12">
        <f t="shared" ref="AI22:BN22" si="7">AI5-AI13</f>
        <v>0</v>
      </c>
      <c r="AJ22" s="12">
        <f t="shared" si="7"/>
        <v>0</v>
      </c>
      <c r="AK22" s="12">
        <f t="shared" si="7"/>
        <v>0</v>
      </c>
      <c r="AL22" s="12">
        <f t="shared" si="7"/>
        <v>0</v>
      </c>
      <c r="AM22" s="12">
        <f t="shared" si="7"/>
        <v>0</v>
      </c>
      <c r="AN22" s="12">
        <f t="shared" si="7"/>
        <v>0</v>
      </c>
      <c r="AO22" s="12">
        <f t="shared" si="7"/>
        <v>0</v>
      </c>
      <c r="AP22" s="12">
        <f t="shared" si="7"/>
        <v>0</v>
      </c>
      <c r="AQ22" s="12">
        <f t="shared" si="7"/>
        <v>0</v>
      </c>
      <c r="AR22" s="12">
        <f t="shared" si="7"/>
        <v>0</v>
      </c>
      <c r="AS22" s="12">
        <f t="shared" si="7"/>
        <v>0</v>
      </c>
      <c r="AT22" s="12">
        <f t="shared" si="7"/>
        <v>0</v>
      </c>
      <c r="AU22" s="12">
        <f t="shared" si="7"/>
        <v>0</v>
      </c>
      <c r="AV22" s="12">
        <f t="shared" si="7"/>
        <v>0</v>
      </c>
      <c r="AW22" s="12">
        <f t="shared" si="7"/>
        <v>0</v>
      </c>
      <c r="AX22" s="12">
        <f t="shared" si="7"/>
        <v>0</v>
      </c>
      <c r="AY22" s="12">
        <f t="shared" si="7"/>
        <v>0</v>
      </c>
      <c r="AZ22" s="12">
        <f t="shared" si="7"/>
        <v>0</v>
      </c>
      <c r="BA22" s="12">
        <f t="shared" si="7"/>
        <v>0</v>
      </c>
      <c r="BB22" s="12">
        <f t="shared" si="7"/>
        <v>0</v>
      </c>
      <c r="BC22" s="12">
        <f t="shared" si="7"/>
        <v>0</v>
      </c>
      <c r="BD22" s="12">
        <f t="shared" si="7"/>
        <v>0</v>
      </c>
      <c r="BE22" s="12">
        <f t="shared" si="7"/>
        <v>0</v>
      </c>
      <c r="BF22" s="12">
        <f t="shared" si="7"/>
        <v>0</v>
      </c>
      <c r="BG22" s="12">
        <f t="shared" si="7"/>
        <v>0</v>
      </c>
      <c r="BH22" s="12">
        <f t="shared" si="7"/>
        <v>0</v>
      </c>
      <c r="BI22" s="12">
        <f t="shared" si="7"/>
        <v>0</v>
      </c>
      <c r="BJ22" s="12">
        <f t="shared" si="7"/>
        <v>0</v>
      </c>
      <c r="BK22" s="12">
        <f t="shared" si="7"/>
        <v>0</v>
      </c>
      <c r="BL22" s="12">
        <f t="shared" si="7"/>
        <v>0</v>
      </c>
      <c r="BM22" s="12">
        <f t="shared" si="7"/>
        <v>0</v>
      </c>
      <c r="BN22" s="12">
        <f t="shared" si="7"/>
        <v>0</v>
      </c>
      <c r="BO22" s="12">
        <f t="shared" ref="BO22:CM22" si="8">BO5-BO13</f>
        <v>0</v>
      </c>
      <c r="BP22" s="12">
        <f t="shared" si="8"/>
        <v>0</v>
      </c>
      <c r="BQ22" s="12">
        <f t="shared" si="8"/>
        <v>0</v>
      </c>
      <c r="BR22" s="12">
        <f t="shared" si="8"/>
        <v>0</v>
      </c>
      <c r="BS22" s="12">
        <f t="shared" si="8"/>
        <v>0</v>
      </c>
      <c r="BT22" s="12">
        <f t="shared" si="8"/>
        <v>0</v>
      </c>
      <c r="BU22" s="12">
        <f t="shared" si="8"/>
        <v>0</v>
      </c>
      <c r="BV22" s="12">
        <f t="shared" si="8"/>
        <v>0</v>
      </c>
      <c r="BW22" s="12">
        <f t="shared" si="8"/>
        <v>0</v>
      </c>
      <c r="BX22" s="12">
        <f t="shared" si="8"/>
        <v>0</v>
      </c>
      <c r="BY22" s="12">
        <f t="shared" si="8"/>
        <v>0</v>
      </c>
      <c r="BZ22" s="12">
        <f t="shared" si="8"/>
        <v>0</v>
      </c>
      <c r="CA22" s="12">
        <f t="shared" si="8"/>
        <v>0</v>
      </c>
      <c r="CB22" s="12">
        <f t="shared" si="8"/>
        <v>0</v>
      </c>
      <c r="CC22" s="12">
        <f t="shared" si="8"/>
        <v>0</v>
      </c>
      <c r="CD22" s="12">
        <f t="shared" si="8"/>
        <v>0</v>
      </c>
      <c r="CE22" s="12">
        <f t="shared" si="8"/>
        <v>0</v>
      </c>
      <c r="CF22" s="12">
        <f t="shared" si="8"/>
        <v>0</v>
      </c>
      <c r="CG22" s="12">
        <f t="shared" si="8"/>
        <v>0</v>
      </c>
      <c r="CH22" s="12">
        <f t="shared" si="8"/>
        <v>0</v>
      </c>
      <c r="CI22" s="12">
        <f t="shared" si="8"/>
        <v>0</v>
      </c>
      <c r="CJ22" s="12">
        <f t="shared" si="8"/>
        <v>0</v>
      </c>
      <c r="CK22" s="12">
        <f t="shared" si="8"/>
        <v>0</v>
      </c>
      <c r="CL22" s="12">
        <f t="shared" si="8"/>
        <v>0</v>
      </c>
      <c r="CM22" s="12">
        <f t="shared" si="8"/>
        <v>0</v>
      </c>
    </row>
    <row r="23" spans="1:91" ht="13.2">
      <c r="A23" s="10" t="s">
        <v>95</v>
      </c>
      <c r="B23" s="11">
        <v>4300</v>
      </c>
      <c r="C23" s="12">
        <f t="shared" ref="C23:AH23" si="9">C6-C14</f>
        <v>0</v>
      </c>
      <c r="D23" s="12">
        <f t="shared" si="9"/>
        <v>0</v>
      </c>
      <c r="E23" s="12">
        <f t="shared" si="9"/>
        <v>0</v>
      </c>
      <c r="F23" s="12">
        <f t="shared" si="9"/>
        <v>0</v>
      </c>
      <c r="G23" s="12">
        <f t="shared" si="9"/>
        <v>0</v>
      </c>
      <c r="H23" s="12">
        <f t="shared" si="9"/>
        <v>0</v>
      </c>
      <c r="I23" s="12">
        <f t="shared" si="9"/>
        <v>0</v>
      </c>
      <c r="J23" s="12">
        <f t="shared" si="9"/>
        <v>0</v>
      </c>
      <c r="K23" s="12">
        <f t="shared" si="9"/>
        <v>0</v>
      </c>
      <c r="L23" s="12">
        <f t="shared" si="9"/>
        <v>0</v>
      </c>
      <c r="M23" s="12">
        <f t="shared" si="9"/>
        <v>0</v>
      </c>
      <c r="N23" s="12">
        <f t="shared" si="9"/>
        <v>0</v>
      </c>
      <c r="O23" s="12">
        <f t="shared" si="9"/>
        <v>0</v>
      </c>
      <c r="P23" s="12">
        <f t="shared" si="9"/>
        <v>0</v>
      </c>
      <c r="Q23" s="12">
        <f t="shared" si="9"/>
        <v>0</v>
      </c>
      <c r="R23" s="12">
        <f t="shared" si="9"/>
        <v>0</v>
      </c>
      <c r="S23" s="12">
        <f t="shared" si="9"/>
        <v>0</v>
      </c>
      <c r="T23" s="12">
        <f t="shared" si="9"/>
        <v>0</v>
      </c>
      <c r="U23" s="12">
        <f t="shared" si="9"/>
        <v>0</v>
      </c>
      <c r="V23" s="12">
        <f t="shared" si="9"/>
        <v>0</v>
      </c>
      <c r="W23" s="12">
        <f t="shared" si="9"/>
        <v>0</v>
      </c>
      <c r="X23" s="12">
        <f t="shared" si="9"/>
        <v>0</v>
      </c>
      <c r="Y23" s="12">
        <f t="shared" si="9"/>
        <v>0</v>
      </c>
      <c r="Z23" s="12">
        <f t="shared" si="9"/>
        <v>0</v>
      </c>
      <c r="AA23" s="12">
        <f t="shared" si="9"/>
        <v>0</v>
      </c>
      <c r="AB23" s="12">
        <f t="shared" si="9"/>
        <v>0</v>
      </c>
      <c r="AC23" s="12">
        <f t="shared" si="9"/>
        <v>0</v>
      </c>
      <c r="AD23" s="12">
        <f t="shared" si="9"/>
        <v>0</v>
      </c>
      <c r="AE23" s="12">
        <f t="shared" si="9"/>
        <v>0</v>
      </c>
      <c r="AF23" s="12">
        <f t="shared" si="9"/>
        <v>0</v>
      </c>
      <c r="AG23" s="12">
        <f t="shared" si="9"/>
        <v>0</v>
      </c>
      <c r="AH23" s="12">
        <f t="shared" si="9"/>
        <v>0</v>
      </c>
      <c r="AI23" s="12">
        <f t="shared" ref="AI23:BN23" si="10">AI6-AI14</f>
        <v>0</v>
      </c>
      <c r="AJ23" s="12">
        <f t="shared" si="10"/>
        <v>0</v>
      </c>
      <c r="AK23" s="12">
        <f t="shared" si="10"/>
        <v>0</v>
      </c>
      <c r="AL23" s="12">
        <f t="shared" si="10"/>
        <v>0</v>
      </c>
      <c r="AM23" s="12">
        <f t="shared" si="10"/>
        <v>0</v>
      </c>
      <c r="AN23" s="12">
        <f t="shared" si="10"/>
        <v>0</v>
      </c>
      <c r="AO23" s="12">
        <f t="shared" si="10"/>
        <v>0</v>
      </c>
      <c r="AP23" s="12">
        <f t="shared" si="10"/>
        <v>0</v>
      </c>
      <c r="AQ23" s="12">
        <f t="shared" si="10"/>
        <v>0</v>
      </c>
      <c r="AR23" s="12">
        <f t="shared" si="10"/>
        <v>0</v>
      </c>
      <c r="AS23" s="12">
        <f t="shared" si="10"/>
        <v>0</v>
      </c>
      <c r="AT23" s="12">
        <f t="shared" si="10"/>
        <v>0</v>
      </c>
      <c r="AU23" s="12">
        <f t="shared" si="10"/>
        <v>0</v>
      </c>
      <c r="AV23" s="12">
        <f t="shared" si="10"/>
        <v>0</v>
      </c>
      <c r="AW23" s="12">
        <f t="shared" si="10"/>
        <v>0</v>
      </c>
      <c r="AX23" s="12">
        <f t="shared" si="10"/>
        <v>0</v>
      </c>
      <c r="AY23" s="12">
        <f t="shared" si="10"/>
        <v>0</v>
      </c>
      <c r="AZ23" s="12">
        <f t="shared" si="10"/>
        <v>0</v>
      </c>
      <c r="BA23" s="12">
        <f t="shared" si="10"/>
        <v>0</v>
      </c>
      <c r="BB23" s="12">
        <f t="shared" si="10"/>
        <v>0</v>
      </c>
      <c r="BC23" s="12">
        <f t="shared" si="10"/>
        <v>0</v>
      </c>
      <c r="BD23" s="12">
        <f t="shared" si="10"/>
        <v>0</v>
      </c>
      <c r="BE23" s="12">
        <f t="shared" si="10"/>
        <v>0</v>
      </c>
      <c r="BF23" s="12">
        <f t="shared" si="10"/>
        <v>0</v>
      </c>
      <c r="BG23" s="12">
        <f t="shared" si="10"/>
        <v>0</v>
      </c>
      <c r="BH23" s="12">
        <f t="shared" si="10"/>
        <v>0</v>
      </c>
      <c r="BI23" s="12">
        <f t="shared" si="10"/>
        <v>0</v>
      </c>
      <c r="BJ23" s="12">
        <f t="shared" si="10"/>
        <v>0</v>
      </c>
      <c r="BK23" s="12">
        <f t="shared" si="10"/>
        <v>0</v>
      </c>
      <c r="BL23" s="12">
        <f t="shared" si="10"/>
        <v>0</v>
      </c>
      <c r="BM23" s="12">
        <f t="shared" si="10"/>
        <v>0</v>
      </c>
      <c r="BN23" s="12">
        <f t="shared" si="10"/>
        <v>0</v>
      </c>
      <c r="BO23" s="12">
        <f t="shared" ref="BO23:CM23" si="11">BO6-BO14</f>
        <v>0</v>
      </c>
      <c r="BP23" s="12">
        <f t="shared" si="11"/>
        <v>0</v>
      </c>
      <c r="BQ23" s="12">
        <f t="shared" si="11"/>
        <v>0</v>
      </c>
      <c r="BR23" s="12">
        <f t="shared" si="11"/>
        <v>0</v>
      </c>
      <c r="BS23" s="12">
        <f t="shared" si="11"/>
        <v>0</v>
      </c>
      <c r="BT23" s="12">
        <f t="shared" si="11"/>
        <v>0</v>
      </c>
      <c r="BU23" s="12">
        <f t="shared" si="11"/>
        <v>0</v>
      </c>
      <c r="BV23" s="12">
        <f t="shared" si="11"/>
        <v>0</v>
      </c>
      <c r="BW23" s="12">
        <f t="shared" si="11"/>
        <v>0</v>
      </c>
      <c r="BX23" s="12">
        <f t="shared" si="11"/>
        <v>0</v>
      </c>
      <c r="BY23" s="12">
        <f t="shared" si="11"/>
        <v>0</v>
      </c>
      <c r="BZ23" s="12">
        <f t="shared" si="11"/>
        <v>0</v>
      </c>
      <c r="CA23" s="12">
        <f t="shared" si="11"/>
        <v>0</v>
      </c>
      <c r="CB23" s="12">
        <f t="shared" si="11"/>
        <v>0</v>
      </c>
      <c r="CC23" s="12">
        <f t="shared" si="11"/>
        <v>0</v>
      </c>
      <c r="CD23" s="12">
        <f t="shared" si="11"/>
        <v>0</v>
      </c>
      <c r="CE23" s="12">
        <f t="shared" si="11"/>
        <v>0</v>
      </c>
      <c r="CF23" s="12">
        <f t="shared" si="11"/>
        <v>0</v>
      </c>
      <c r="CG23" s="12">
        <f t="shared" si="11"/>
        <v>0</v>
      </c>
      <c r="CH23" s="12">
        <f t="shared" si="11"/>
        <v>0</v>
      </c>
      <c r="CI23" s="12">
        <f t="shared" si="11"/>
        <v>0</v>
      </c>
      <c r="CJ23" s="12">
        <f t="shared" si="11"/>
        <v>0</v>
      </c>
      <c r="CK23" s="12">
        <f t="shared" si="11"/>
        <v>0</v>
      </c>
      <c r="CL23" s="12">
        <f t="shared" si="11"/>
        <v>0</v>
      </c>
      <c r="CM23" s="12">
        <f t="shared" si="11"/>
        <v>0</v>
      </c>
    </row>
    <row r="24" spans="1:91" ht="13.2">
      <c r="A24" s="14"/>
      <c r="B24" s="14"/>
      <c r="C24" s="14"/>
      <c r="D24" s="15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</row>
    <row r="25" spans="1:91" ht="13.2">
      <c r="A25" s="14"/>
      <c r="B25" s="14"/>
      <c r="C25" s="14"/>
      <c r="D25" s="15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</row>
    <row r="26" spans="1:91" ht="13.2">
      <c r="A26" s="14"/>
      <c r="B26" s="14"/>
      <c r="C26" s="14"/>
      <c r="D26" s="1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</row>
    <row r="27" spans="1:91" ht="13.2" customHeight="1">
      <c r="A27" s="14"/>
      <c r="B27" s="14"/>
      <c r="C27" s="14"/>
      <c r="D27" s="15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</row>
    <row r="28" spans="1:91" ht="13.2" customHeight="1">
      <c r="A28" s="14"/>
      <c r="B28" s="14"/>
      <c r="C28" s="14"/>
      <c r="D28" s="15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</row>
    <row r="29" spans="1:91" ht="13.2" customHeight="1">
      <c r="A29" s="14"/>
      <c r="B29" s="14"/>
      <c r="C29" s="14"/>
      <c r="D29" s="1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</row>
    <row r="30" spans="1:91" ht="13.2" customHeight="1">
      <c r="A30" s="14"/>
      <c r="B30" s="14"/>
      <c r="C30" s="14"/>
      <c r="D30" s="1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</row>
    <row r="31" spans="1:91" ht="13.2" customHeight="1">
      <c r="A31" s="14"/>
      <c r="B31" s="14"/>
      <c r="C31" s="14"/>
      <c r="D31" s="1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</row>
    <row r="32" spans="1:91" ht="13.2" customHeight="1">
      <c r="A32" s="14"/>
      <c r="B32" s="14"/>
      <c r="C32" s="14"/>
      <c r="D32" s="15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</row>
    <row r="33" spans="1:91" ht="13.2" customHeight="1">
      <c r="A33" s="14"/>
      <c r="B33" s="14"/>
      <c r="C33" s="14"/>
      <c r="D33" s="15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</row>
    <row r="34" spans="1:91" ht="13.2" customHeight="1">
      <c r="A34" s="14"/>
      <c r="B34" s="14"/>
      <c r="C34" s="14"/>
      <c r="D34" s="15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</row>
    <row r="35" spans="1:91" ht="13.2" customHeight="1">
      <c r="A35" s="14"/>
      <c r="B35" s="14"/>
      <c r="C35" s="14"/>
      <c r="D35" s="1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</row>
    <row r="36" spans="1:91" ht="13.2" customHeight="1">
      <c r="A36" s="14"/>
      <c r="B36" s="14"/>
      <c r="C36" s="14"/>
      <c r="D36" s="15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</row>
    <row r="37" spans="1:91" ht="13.2" customHeight="1">
      <c r="A37" s="14"/>
      <c r="B37" s="14"/>
      <c r="C37" s="14"/>
      <c r="D37" s="15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</row>
    <row r="38" spans="1:91" ht="13.2" customHeight="1">
      <c r="A38" s="14"/>
      <c r="B38" s="14"/>
      <c r="C38" s="14"/>
      <c r="D38" s="1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</row>
    <row r="39" spans="1:91" ht="13.2" customHeight="1">
      <c r="A39" s="14"/>
      <c r="B39" s="14"/>
      <c r="C39" s="14"/>
      <c r="D39" s="15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</row>
    <row r="40" spans="1:91" ht="13.2" customHeight="1">
      <c r="A40" s="14"/>
      <c r="B40" s="14"/>
      <c r="C40" s="14"/>
      <c r="D40" s="15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</row>
    <row r="41" spans="1:91" ht="13.2" customHeight="1">
      <c r="A41" s="14"/>
      <c r="B41" s="14"/>
      <c r="C41" s="14"/>
      <c r="D41" s="15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</row>
    <row r="42" spans="1:91" ht="13.2" customHeight="1">
      <c r="A42" s="14"/>
      <c r="B42" s="14"/>
      <c r="C42" s="14"/>
      <c r="D42" s="15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</row>
    <row r="43" spans="1:91" ht="13.2" customHeight="1">
      <c r="A43" s="14"/>
      <c r="B43" s="14"/>
      <c r="C43" s="14"/>
      <c r="D43" s="15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</row>
    <row r="44" spans="1:91" ht="13.2" customHeight="1">
      <c r="A44" s="14"/>
      <c r="B44" s="14"/>
      <c r="C44" s="14"/>
      <c r="D44" s="15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</row>
    <row r="45" spans="1:91" ht="13.2" customHeight="1">
      <c r="A45" s="14"/>
      <c r="B45" s="14"/>
      <c r="C45" s="14"/>
      <c r="D45" s="1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</row>
    <row r="46" spans="1:91" ht="13.2" customHeight="1">
      <c r="A46" s="14"/>
      <c r="B46" s="14"/>
      <c r="C46" s="14"/>
      <c r="D46" s="15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</row>
    <row r="47" spans="1:91" ht="13.2" customHeight="1">
      <c r="A47" s="14"/>
      <c r="B47" s="14"/>
      <c r="C47" s="14"/>
      <c r="D47" s="15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</row>
    <row r="48" spans="1:91" ht="13.2" customHeight="1">
      <c r="A48" s="14"/>
      <c r="B48" s="14"/>
      <c r="C48" s="14"/>
      <c r="D48" s="15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</row>
    <row r="49" spans="1:91" ht="13.2" customHeight="1">
      <c r="A49" s="14"/>
      <c r="B49" s="14"/>
      <c r="C49" s="14"/>
      <c r="D49" s="15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</row>
    <row r="50" spans="1:91" ht="13.2" customHeight="1">
      <c r="A50" s="14"/>
      <c r="B50" s="14"/>
      <c r="C50" s="14"/>
      <c r="D50" s="15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</row>
    <row r="51" spans="1:91" ht="13.2" customHeight="1">
      <c r="A51" s="14"/>
      <c r="B51" s="14"/>
      <c r="C51" s="14"/>
      <c r="D51" s="15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</row>
    <row r="52" spans="1:91" ht="13.2" customHeight="1">
      <c r="A52" s="14"/>
      <c r="B52" s="14"/>
      <c r="C52" s="14"/>
      <c r="D52" s="1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</row>
    <row r="53" spans="1:91" ht="13.2" customHeight="1">
      <c r="A53" s="14"/>
      <c r="B53" s="14"/>
      <c r="C53" s="14"/>
      <c r="D53" s="15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</row>
    <row r="54" spans="1:91" ht="13.2" customHeight="1">
      <c r="A54" s="14"/>
      <c r="B54" s="14"/>
      <c r="C54" s="14"/>
      <c r="D54" s="15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</row>
    <row r="55" spans="1:91" ht="13.2" customHeight="1">
      <c r="A55" s="14"/>
      <c r="B55" s="14"/>
      <c r="C55" s="14"/>
      <c r="D55" s="1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</row>
    <row r="56" spans="1:91" ht="13.2" customHeight="1">
      <c r="A56" s="14"/>
      <c r="B56" s="14"/>
      <c r="C56" s="14"/>
      <c r="D56" s="15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</row>
    <row r="57" spans="1:91" ht="13.2" customHeight="1">
      <c r="A57" s="14"/>
      <c r="B57" s="14"/>
      <c r="C57" s="14"/>
      <c r="D57" s="15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</row>
    <row r="58" spans="1:91" ht="13.2" customHeight="1">
      <c r="A58" s="14"/>
      <c r="B58" s="14"/>
      <c r="C58" s="14"/>
      <c r="D58" s="1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</row>
    <row r="59" spans="1:91" ht="13.2" customHeight="1">
      <c r="A59" s="14"/>
      <c r="B59" s="14"/>
      <c r="C59" s="14"/>
      <c r="D59" s="15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</row>
    <row r="60" spans="1:91" ht="13.2" customHeight="1">
      <c r="A60" s="14"/>
      <c r="B60" s="14"/>
      <c r="C60" s="14"/>
      <c r="D60" s="15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</row>
    <row r="61" spans="1:91" ht="13.2" customHeight="1">
      <c r="A61" s="14"/>
      <c r="B61" s="14"/>
      <c r="C61" s="14"/>
      <c r="D61" s="15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</row>
    <row r="62" spans="1:91" ht="13.2" customHeight="1">
      <c r="A62" s="14"/>
      <c r="B62" s="14"/>
      <c r="C62" s="14"/>
      <c r="D62" s="15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</row>
    <row r="63" spans="1:91" ht="13.2" customHeight="1">
      <c r="A63" s="14"/>
      <c r="B63" s="14"/>
      <c r="C63" s="14"/>
      <c r="D63" s="15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</row>
    <row r="64" spans="1:91" ht="13.2" customHeight="1">
      <c r="A64" s="14"/>
      <c r="B64" s="14"/>
      <c r="C64" s="14"/>
      <c r="D64" s="15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</row>
    <row r="65" spans="1:91" ht="13.2" customHeight="1">
      <c r="A65" s="14"/>
      <c r="B65" s="14"/>
      <c r="C65" s="14"/>
      <c r="D65" s="1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</row>
    <row r="66" spans="1:91" ht="13.2" customHeight="1">
      <c r="A66" s="14"/>
      <c r="B66" s="14"/>
      <c r="C66" s="14"/>
      <c r="D66" s="15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</row>
    <row r="67" spans="1:91" ht="13.2" customHeight="1">
      <c r="A67" s="14"/>
      <c r="B67" s="14"/>
      <c r="C67" s="14"/>
      <c r="D67" s="15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</row>
    <row r="68" spans="1:91" ht="13.2" customHeight="1">
      <c r="A68" s="14"/>
      <c r="B68" s="14"/>
      <c r="C68" s="14"/>
      <c r="D68" s="1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</row>
    <row r="69" spans="1:91" ht="13.2" customHeight="1">
      <c r="A69" s="14"/>
      <c r="B69" s="14"/>
      <c r="C69" s="14"/>
      <c r="D69" s="15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</row>
    <row r="70" spans="1:91" ht="13.2" customHeight="1">
      <c r="A70" s="14"/>
      <c r="B70" s="14"/>
      <c r="C70" s="14"/>
      <c r="D70" s="15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</row>
    <row r="71" spans="1:91" ht="13.2" customHeight="1">
      <c r="A71" s="14"/>
      <c r="B71" s="14"/>
      <c r="C71" s="14"/>
      <c r="D71" s="15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</row>
    <row r="72" spans="1:91" ht="13.2" customHeight="1">
      <c r="A72" s="14"/>
      <c r="B72" s="14"/>
      <c r="C72" s="14"/>
      <c r="D72" s="1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</row>
    <row r="73" spans="1:91" ht="13.2" customHeight="1">
      <c r="A73" s="14"/>
      <c r="B73" s="14"/>
      <c r="C73" s="14"/>
      <c r="D73" s="15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</row>
    <row r="74" spans="1:91" ht="13.2" customHeight="1">
      <c r="A74" s="14"/>
      <c r="B74" s="14"/>
      <c r="C74" s="14"/>
      <c r="D74" s="1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</row>
    <row r="75" spans="1:91" ht="13.2" customHeight="1">
      <c r="A75" s="14"/>
      <c r="B75" s="14"/>
      <c r="C75" s="14"/>
      <c r="D75" s="15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</row>
    <row r="76" spans="1:91" ht="13.2" customHeight="1">
      <c r="A76" s="14"/>
      <c r="B76" s="14"/>
      <c r="C76" s="14"/>
      <c r="D76" s="1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</row>
    <row r="77" spans="1:91" ht="13.2" customHeight="1">
      <c r="A77" s="14"/>
      <c r="B77" s="14"/>
      <c r="C77" s="14"/>
      <c r="D77" s="15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</row>
    <row r="78" spans="1:91" ht="13.2" customHeight="1">
      <c r="A78" s="14"/>
      <c r="B78" s="14"/>
      <c r="C78" s="14"/>
      <c r="D78" s="15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</row>
    <row r="79" spans="1:91" ht="13.2" customHeight="1">
      <c r="A79" s="14"/>
      <c r="B79" s="14"/>
      <c r="C79" s="14"/>
      <c r="D79" s="15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</row>
    <row r="80" spans="1:91" ht="13.2" customHeight="1">
      <c r="A80" s="14"/>
      <c r="B80" s="14"/>
      <c r="C80" s="14"/>
      <c r="D80" s="15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</row>
    <row r="81" spans="1:91" ht="13.2" customHeight="1">
      <c r="A81" s="14"/>
      <c r="B81" s="14"/>
      <c r="C81" s="14"/>
      <c r="D81" s="15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</row>
    <row r="82" spans="1:91" ht="13.2" customHeight="1">
      <c r="A82" s="14"/>
      <c r="B82" s="14"/>
      <c r="C82" s="14"/>
      <c r="D82" s="15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</row>
    <row r="83" spans="1:91" ht="13.2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</row>
    <row r="84" spans="1:91" ht="13.2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</row>
    <row r="85" spans="1:91" ht="13.2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</row>
    <row r="86" spans="1:91" ht="13.2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</row>
    <row r="87" spans="1:91" ht="13.2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</row>
    <row r="88" spans="1:91" ht="13.2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</row>
    <row r="89" spans="1:91" ht="13.2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</row>
    <row r="90" spans="1:91" ht="13.2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</row>
    <row r="91" spans="1:91" ht="13.2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</row>
    <row r="92" spans="1:91" ht="13.2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</row>
    <row r="93" spans="1:91" ht="13.2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</row>
    <row r="94" spans="1:91" ht="13.2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</row>
    <row r="95" spans="1:91" ht="13.2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</row>
    <row r="96" spans="1:91" ht="13.2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</row>
    <row r="97" spans="1:91" ht="13.2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</row>
    <row r="98" spans="1:91" ht="13.2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</row>
    <row r="99" spans="1:91" ht="13.2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</row>
    <row r="100" spans="1:91" ht="13.2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</row>
    <row r="101" spans="1:91" ht="13.2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</row>
    <row r="102" spans="1:91" ht="13.2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</row>
    <row r="103" spans="1:91" ht="13.2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</row>
    <row r="104" spans="1:91" ht="13.2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</row>
    <row r="105" spans="1:91" ht="13.2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</row>
    <row r="106" spans="1:91" ht="13.2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</row>
    <row r="107" spans="1:91" ht="13.2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</row>
    <row r="108" spans="1:91" ht="13.2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</row>
    <row r="109" spans="1:91" ht="13.2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</row>
    <row r="110" spans="1:91" ht="13.2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</row>
    <row r="111" spans="1:91" ht="13.2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</row>
    <row r="112" spans="1:91" ht="13.2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</row>
    <row r="113" spans="1:91" ht="13.2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</row>
    <row r="114" spans="1:91" ht="13.2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</row>
    <row r="115" spans="1:91" ht="13.2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</row>
    <row r="116" spans="1:91" ht="13.2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</row>
    <row r="117" spans="1:91" ht="13.2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</row>
    <row r="118" spans="1:91" ht="13.2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</row>
    <row r="119" spans="1:91" ht="13.2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</row>
    <row r="120" spans="1:91" ht="13.2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</row>
    <row r="121" spans="1:91" ht="13.2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</row>
    <row r="122" spans="1:91" ht="13.2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</row>
    <row r="123" spans="1:91" ht="13.2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</row>
    <row r="124" spans="1:91" ht="13.2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</row>
    <row r="125" spans="1:91" ht="13.2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</row>
    <row r="126" spans="1:91" ht="13.2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</row>
    <row r="127" spans="1:91" ht="13.2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</row>
    <row r="128" spans="1:91" ht="13.2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</row>
    <row r="129" spans="1:91" ht="13.2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</row>
    <row r="130" spans="1:91" ht="13.2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</row>
    <row r="131" spans="1:91" ht="13.2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</row>
    <row r="132" spans="1:91" ht="13.2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</row>
    <row r="133" spans="1:91" ht="13.2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</row>
    <row r="134" spans="1:91" ht="13.2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</row>
    <row r="135" spans="1:91" ht="13.2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</row>
    <row r="136" spans="1:91" ht="13.2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</row>
    <row r="137" spans="1:91" ht="13.2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</row>
    <row r="138" spans="1:91" ht="13.2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</row>
    <row r="139" spans="1:91" ht="13.2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</row>
    <row r="140" spans="1:91" ht="13.2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</row>
    <row r="141" spans="1:91" ht="13.2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</row>
    <row r="142" spans="1:91" ht="13.2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</row>
    <row r="143" spans="1:91" ht="13.2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</row>
    <row r="144" spans="1:91" ht="13.2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</row>
    <row r="145" spans="1:91" ht="13.2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</row>
    <row r="146" spans="1:91" ht="13.2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</row>
    <row r="147" spans="1:91" ht="13.2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</row>
    <row r="148" spans="1:91" ht="13.2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</row>
    <row r="149" spans="1:91" ht="13.2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</row>
    <row r="150" spans="1:91" ht="13.2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</row>
    <row r="151" spans="1:91" ht="13.2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</row>
    <row r="152" spans="1:91" ht="13.2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</row>
    <row r="153" spans="1:91" ht="13.2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</row>
    <row r="154" spans="1:91" ht="13.2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</row>
    <row r="155" spans="1:91" ht="13.2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</row>
    <row r="156" spans="1:91" ht="13.2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</row>
    <row r="157" spans="1:91" ht="13.2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</row>
    <row r="158" spans="1:91" ht="13.2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</row>
    <row r="159" spans="1:91" ht="13.2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</row>
    <row r="160" spans="1:91" ht="13.2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</row>
    <row r="161" spans="1:91" ht="13.2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</row>
    <row r="162" spans="1:91" ht="13.2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</row>
    <row r="163" spans="1:91" ht="13.2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</row>
    <row r="164" spans="1:91" ht="13.2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</row>
    <row r="165" spans="1:91" ht="13.2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</row>
    <row r="166" spans="1:91" ht="13.2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</row>
    <row r="167" spans="1:91" ht="13.2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</row>
    <row r="168" spans="1:91" ht="13.2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</row>
    <row r="169" spans="1:91" ht="13.2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</row>
    <row r="170" spans="1:91" ht="13.2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</row>
    <row r="171" spans="1:91" ht="13.2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</row>
    <row r="172" spans="1:91" ht="13.2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</row>
    <row r="173" spans="1:91" ht="13.2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</row>
    <row r="174" spans="1:91" ht="13.2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</row>
    <row r="175" spans="1:91" ht="13.2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</row>
    <row r="176" spans="1:91" ht="13.2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</row>
    <row r="177" spans="1:91" ht="13.2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</row>
    <row r="178" spans="1:91" ht="13.2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</row>
    <row r="179" spans="1:91" ht="13.2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</row>
    <row r="180" spans="1:91" ht="13.2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</row>
    <row r="181" spans="1:91" ht="13.2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</row>
    <row r="182" spans="1:91" ht="13.2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</row>
    <row r="183" spans="1:91" ht="13.2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</row>
    <row r="184" spans="1:91" ht="13.2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</row>
    <row r="185" spans="1:91" ht="13.2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</row>
    <row r="186" spans="1:91" ht="13.2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</row>
    <row r="187" spans="1:91" ht="13.2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</row>
    <row r="188" spans="1:91" ht="13.2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</row>
    <row r="189" spans="1:91" ht="13.2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</row>
    <row r="190" spans="1:91" ht="13.2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</row>
    <row r="191" spans="1:91" ht="13.2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</row>
    <row r="192" spans="1:91" ht="13.2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</row>
    <row r="193" spans="1:91" ht="13.2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</row>
    <row r="194" spans="1:91" ht="13.2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</row>
    <row r="195" spans="1:91" ht="13.2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</row>
    <row r="196" spans="1:91" ht="13.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</row>
    <row r="197" spans="1:91" ht="13.2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</row>
    <row r="198" spans="1:91" ht="13.2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</row>
    <row r="199" spans="1:91" ht="13.2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</row>
    <row r="200" spans="1:91" ht="13.2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</row>
    <row r="201" spans="1:91" ht="13.2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</row>
    <row r="202" spans="1:91" ht="13.2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</row>
    <row r="203" spans="1:91" ht="13.2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</row>
    <row r="204" spans="1:91" ht="13.2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</row>
    <row r="205" spans="1:91" ht="13.2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</row>
    <row r="206" spans="1:91" ht="13.2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</row>
    <row r="207" spans="1:91" ht="13.2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</row>
    <row r="208" spans="1:91" ht="13.2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</row>
    <row r="209" spans="1:91" ht="13.2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</row>
    <row r="210" spans="1:91" ht="13.2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</row>
    <row r="211" spans="1:91" ht="13.2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</row>
    <row r="212" spans="1:91" ht="13.2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</row>
    <row r="213" spans="1:91" ht="13.2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</row>
    <row r="214" spans="1:91" ht="13.2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</row>
    <row r="215" spans="1:91" ht="13.2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</row>
    <row r="216" spans="1:91" ht="13.2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</row>
    <row r="217" spans="1:91" ht="13.2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</row>
    <row r="218" spans="1:91" ht="13.2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</row>
    <row r="219" spans="1:91" ht="13.2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</row>
    <row r="220" spans="1:91" ht="13.2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</row>
    <row r="221" spans="1:91" ht="13.2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</row>
    <row r="222" spans="1:91" ht="13.2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</row>
    <row r="223" spans="1:91" ht="13.2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</row>
    <row r="224" spans="1:91" ht="13.2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</row>
    <row r="225" spans="1:91" ht="13.2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</row>
    <row r="226" spans="1:91" ht="13.2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</row>
    <row r="227" spans="1:91" ht="13.2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</row>
    <row r="228" spans="1:91" ht="13.2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</row>
    <row r="229" spans="1:91" ht="13.2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</row>
    <row r="230" spans="1:91" ht="13.2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</row>
    <row r="231" spans="1:91" ht="13.2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</row>
    <row r="232" spans="1:91" ht="13.2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</row>
    <row r="233" spans="1:91" ht="13.2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</row>
    <row r="234" spans="1:91" ht="13.2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</row>
    <row r="235" spans="1:91" ht="13.2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</row>
    <row r="236" spans="1:91" ht="13.2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</row>
    <row r="237" spans="1:91" ht="13.2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</row>
    <row r="238" spans="1:91" ht="13.2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</row>
    <row r="239" spans="1:91" ht="13.2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</row>
    <row r="240" spans="1:91" ht="13.2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</row>
    <row r="241" spans="1:91" ht="13.2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</row>
    <row r="242" spans="1:91" ht="13.2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</row>
    <row r="243" spans="1:91" ht="13.2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</row>
    <row r="244" spans="1:91" ht="13.2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</row>
    <row r="245" spans="1:91" ht="13.2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</row>
    <row r="246" spans="1:91" ht="13.2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</row>
    <row r="247" spans="1:91" ht="13.2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</row>
    <row r="248" spans="1:91" ht="13.2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</row>
    <row r="249" spans="1:91" ht="13.2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</row>
    <row r="250" spans="1:91" ht="13.2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</row>
    <row r="251" spans="1:91" ht="13.2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</row>
    <row r="252" spans="1:91" ht="13.2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</row>
    <row r="253" spans="1:91" ht="13.2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</row>
    <row r="254" spans="1:91" ht="13.2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</row>
    <row r="255" spans="1:91" ht="13.2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</row>
    <row r="256" spans="1:91" ht="13.2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</row>
    <row r="257" spans="1:91" ht="13.2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</row>
    <row r="258" spans="1:91" ht="13.2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</row>
    <row r="259" spans="1:91" ht="13.2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</row>
    <row r="260" spans="1:91" ht="13.2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</row>
    <row r="261" spans="1:91" ht="13.2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</row>
    <row r="262" spans="1:91" ht="13.2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</row>
    <row r="263" spans="1:91" ht="13.2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</row>
    <row r="264" spans="1:91" ht="13.2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</row>
    <row r="265" spans="1:91" ht="13.2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</row>
    <row r="266" spans="1:91" ht="13.2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</row>
    <row r="267" spans="1:91" ht="13.2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</row>
    <row r="268" spans="1:91" ht="13.2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</row>
    <row r="269" spans="1:91" ht="13.2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</row>
    <row r="270" spans="1:91" ht="13.2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</row>
    <row r="271" spans="1:91" ht="13.2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</row>
    <row r="272" spans="1:91" ht="13.2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</row>
    <row r="273" spans="1:91" ht="13.2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</row>
    <row r="274" spans="1:91" ht="13.2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</row>
    <row r="275" spans="1:91" ht="13.2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</row>
    <row r="276" spans="1:91" ht="13.2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</row>
    <row r="277" spans="1:91" ht="13.2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</row>
    <row r="278" spans="1:91" ht="13.2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</row>
    <row r="279" spans="1:91" ht="13.2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</row>
    <row r="280" spans="1:91" ht="13.2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</row>
    <row r="281" spans="1:91" ht="13.2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</row>
    <row r="282" spans="1:91" ht="13.2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</row>
    <row r="283" spans="1:91" ht="13.2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</row>
    <row r="284" spans="1:91" ht="13.2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</row>
    <row r="285" spans="1:91" ht="13.2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</row>
    <row r="286" spans="1:91" ht="13.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</row>
    <row r="287" spans="1:91" ht="13.2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</row>
    <row r="288" spans="1:91" ht="13.2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</row>
    <row r="289" spans="1:91" ht="13.2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</row>
    <row r="290" spans="1:91" ht="13.2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</row>
    <row r="291" spans="1:91" ht="13.2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</row>
    <row r="292" spans="1:91" ht="13.2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</row>
    <row r="293" spans="1:91" ht="13.2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</row>
    <row r="294" spans="1:91" ht="13.2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</row>
    <row r="295" spans="1:91" ht="13.2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</row>
    <row r="296" spans="1:91" ht="13.2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</row>
    <row r="297" spans="1:91" ht="13.2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</row>
    <row r="298" spans="1:91" ht="13.2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</row>
    <row r="299" spans="1:91" ht="13.2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</row>
    <row r="300" spans="1:91" ht="13.2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</row>
    <row r="301" spans="1:91" ht="13.2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</row>
    <row r="302" spans="1:91" ht="13.2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</row>
    <row r="303" spans="1:91" ht="13.2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</row>
    <row r="304" spans="1:91" ht="13.2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</row>
    <row r="305" spans="1:91" ht="13.2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</row>
    <row r="306" spans="1:91" ht="13.2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</row>
    <row r="307" spans="1:91" ht="13.2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</row>
    <row r="308" spans="1:91" ht="13.2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</row>
    <row r="309" spans="1:91" ht="13.2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</row>
    <row r="310" spans="1:91" ht="13.2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</row>
    <row r="311" spans="1:91" ht="13.2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</row>
    <row r="312" spans="1:91" ht="13.2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</row>
    <row r="313" spans="1:91" ht="13.2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</row>
    <row r="314" spans="1:91" ht="13.2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</row>
    <row r="315" spans="1:91" ht="13.2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</row>
    <row r="316" spans="1:91" ht="13.2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</row>
    <row r="317" spans="1:91" ht="13.2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</row>
    <row r="318" spans="1:91" ht="13.2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</row>
    <row r="319" spans="1:91" ht="13.2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</row>
    <row r="320" spans="1:91" ht="13.2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</row>
    <row r="321" spans="1:91" ht="13.2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</row>
    <row r="322" spans="1:91" ht="13.2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</row>
    <row r="323" spans="1:91" ht="13.2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</row>
    <row r="324" spans="1:91" ht="13.2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</row>
    <row r="325" spans="1:91" ht="13.2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</row>
    <row r="326" spans="1:91" ht="13.2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</row>
    <row r="327" spans="1:91" ht="13.2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</row>
    <row r="328" spans="1:91" ht="13.2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</row>
    <row r="329" spans="1:91" ht="13.2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</row>
    <row r="330" spans="1:91" ht="13.2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</row>
    <row r="331" spans="1:91" ht="13.2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</row>
    <row r="332" spans="1:91" ht="13.2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</row>
    <row r="333" spans="1:91" ht="13.2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</row>
    <row r="334" spans="1:91" ht="13.2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</row>
    <row r="335" spans="1:91" ht="13.2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</row>
    <row r="336" spans="1:91" ht="13.2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</row>
    <row r="337" spans="1:91" ht="13.2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</row>
    <row r="338" spans="1:91" ht="13.2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</row>
    <row r="339" spans="1:91" ht="13.2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</row>
    <row r="340" spans="1:91" ht="13.2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</row>
    <row r="341" spans="1:91" ht="13.2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</row>
    <row r="342" spans="1:91" ht="13.2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</row>
    <row r="343" spans="1:91" ht="13.2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</row>
    <row r="344" spans="1:91" ht="13.2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</row>
    <row r="345" spans="1:91" ht="13.2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</row>
    <row r="346" spans="1:91" ht="13.2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</row>
    <row r="347" spans="1:91" ht="13.2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</row>
    <row r="348" spans="1:91" ht="13.2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</row>
    <row r="349" spans="1:91" ht="13.2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</row>
    <row r="350" spans="1:91" ht="13.2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</row>
    <row r="351" spans="1:91" ht="13.2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</row>
    <row r="352" spans="1:91" ht="13.2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</row>
    <row r="353" spans="1:91" ht="13.2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</row>
    <row r="354" spans="1:91" ht="13.2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</row>
    <row r="355" spans="1:91" ht="13.2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</row>
    <row r="356" spans="1:91" ht="13.2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</row>
    <row r="357" spans="1:91" ht="13.2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</row>
    <row r="358" spans="1:91" ht="13.2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</row>
    <row r="359" spans="1:91" ht="13.2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</row>
    <row r="360" spans="1:91" ht="13.2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</row>
    <row r="361" spans="1:91" ht="13.2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</row>
    <row r="362" spans="1:91" ht="13.2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</row>
    <row r="363" spans="1:91" ht="13.2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</row>
    <row r="364" spans="1:91" ht="13.2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</row>
    <row r="365" spans="1:91" ht="13.2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</row>
    <row r="366" spans="1:91" ht="13.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</row>
    <row r="367" spans="1:91" ht="13.2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</row>
    <row r="368" spans="1:91" ht="13.2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</row>
    <row r="369" spans="1:91" ht="13.2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</row>
    <row r="370" spans="1:91" ht="13.2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</row>
    <row r="371" spans="1:91" ht="13.2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</row>
    <row r="372" spans="1:91" ht="13.2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</row>
    <row r="373" spans="1:91" ht="13.2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</row>
    <row r="374" spans="1:91" ht="13.2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</row>
    <row r="375" spans="1:91" ht="13.2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</row>
    <row r="376" spans="1:91" ht="13.2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</row>
    <row r="377" spans="1:91" ht="13.2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</row>
    <row r="378" spans="1:91" ht="13.2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</row>
    <row r="379" spans="1:91" ht="13.2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</row>
    <row r="380" spans="1:91" ht="13.2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</row>
    <row r="381" spans="1:91" ht="13.2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</row>
    <row r="382" spans="1:91" ht="13.2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</row>
    <row r="383" spans="1:91" ht="13.2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</row>
    <row r="384" spans="1:91" ht="13.2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</row>
    <row r="385" spans="1:91" ht="13.2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</row>
    <row r="386" spans="1:91" ht="13.2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</row>
    <row r="387" spans="1:91" ht="13.2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</row>
    <row r="388" spans="1:91" ht="13.2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</row>
    <row r="389" spans="1:91" ht="13.2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</row>
    <row r="390" spans="1:91" ht="13.2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</row>
    <row r="391" spans="1:91" ht="13.2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</row>
    <row r="392" spans="1:91" ht="13.2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</row>
    <row r="393" spans="1:91" ht="13.2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</row>
    <row r="394" spans="1:91" ht="13.2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</row>
    <row r="395" spans="1:91" ht="13.2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</row>
    <row r="396" spans="1:91" ht="13.2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</row>
    <row r="397" spans="1:91" ht="13.2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</row>
    <row r="398" spans="1:91" ht="13.2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</row>
    <row r="399" spans="1:91" ht="13.2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</row>
    <row r="400" spans="1:91" ht="13.2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</row>
    <row r="401" spans="1:91" ht="13.2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</row>
    <row r="402" spans="1:91" ht="13.2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</row>
    <row r="403" spans="1:91" ht="13.2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</row>
    <row r="404" spans="1:91" ht="13.2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</row>
    <row r="405" spans="1:91" ht="13.2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</row>
    <row r="406" spans="1:91" ht="13.2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</row>
    <row r="407" spans="1:91" ht="13.2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</row>
    <row r="408" spans="1:91" ht="13.2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</row>
    <row r="409" spans="1:91" ht="13.2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</row>
    <row r="410" spans="1:91" ht="13.2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</row>
    <row r="411" spans="1:91" ht="13.2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</row>
    <row r="412" spans="1:91" ht="13.2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</row>
    <row r="413" spans="1:91" ht="13.2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</row>
    <row r="414" spans="1:91" ht="13.2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</row>
    <row r="415" spans="1:91" ht="13.2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</row>
    <row r="416" spans="1:91" ht="13.2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</row>
    <row r="417" spans="1:91" ht="13.2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</row>
    <row r="418" spans="1:91" ht="13.2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</row>
    <row r="419" spans="1:91" ht="13.2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</row>
    <row r="420" spans="1:91" ht="13.2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</row>
    <row r="421" spans="1:91" ht="13.2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</row>
    <row r="422" spans="1:91" ht="13.2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</row>
    <row r="423" spans="1:91" ht="13.2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</row>
    <row r="424" spans="1:91" ht="13.2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</row>
    <row r="425" spans="1:91" ht="13.2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</row>
    <row r="426" spans="1:91" ht="13.2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</row>
    <row r="427" spans="1:91" ht="13.2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</row>
    <row r="428" spans="1:91" ht="13.2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</row>
    <row r="429" spans="1:91" ht="13.2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</row>
    <row r="430" spans="1:91" ht="13.2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</row>
    <row r="431" spans="1:91" ht="13.2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</row>
    <row r="432" spans="1:91" ht="13.2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</row>
    <row r="433" spans="1:91" ht="13.2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</row>
    <row r="434" spans="1:91" ht="13.2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</row>
    <row r="435" spans="1:91" ht="13.2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</row>
    <row r="436" spans="1:91" ht="13.2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</row>
    <row r="437" spans="1:91" ht="13.2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</row>
    <row r="438" spans="1:91" ht="13.2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</row>
    <row r="439" spans="1:91" ht="13.2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</row>
    <row r="440" spans="1:91" ht="13.2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</row>
    <row r="441" spans="1:91" ht="13.2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</row>
    <row r="442" spans="1:91" ht="13.2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</row>
    <row r="443" spans="1:91" ht="13.2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</row>
    <row r="444" spans="1:91" ht="13.2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</row>
    <row r="445" spans="1:91" ht="13.2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</row>
    <row r="446" spans="1:91" ht="13.2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</row>
    <row r="447" spans="1:91" ht="13.2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</row>
    <row r="448" spans="1:91" ht="13.2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</row>
    <row r="449" spans="1:91" ht="13.2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</row>
    <row r="450" spans="1:91" ht="13.2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</row>
    <row r="451" spans="1:91" ht="13.2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</row>
    <row r="452" spans="1:91" ht="13.2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</row>
    <row r="453" spans="1:91" ht="13.2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</row>
    <row r="454" spans="1:91" ht="13.2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</row>
    <row r="455" spans="1:91" ht="13.2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</row>
    <row r="456" spans="1:91" ht="13.2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</row>
    <row r="457" spans="1:91" ht="13.2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</row>
    <row r="458" spans="1:91" ht="13.2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</row>
    <row r="459" spans="1:91" ht="13.2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</row>
    <row r="460" spans="1:91" ht="13.2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</row>
    <row r="461" spans="1:91" ht="13.2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</row>
    <row r="462" spans="1:91" ht="13.2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</row>
    <row r="463" spans="1:91" ht="13.2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</row>
    <row r="464" spans="1:91" ht="13.2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</row>
    <row r="465" spans="1:91" ht="13.2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</row>
    <row r="466" spans="1:91" ht="13.2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</row>
    <row r="467" spans="1:91" ht="13.2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</row>
    <row r="468" spans="1:91" ht="13.2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</row>
    <row r="469" spans="1:91" ht="13.2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</row>
    <row r="470" spans="1:91" ht="13.2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</row>
    <row r="471" spans="1:91" ht="13.2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</row>
    <row r="472" spans="1:91" ht="13.2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</row>
    <row r="473" spans="1:91" ht="13.2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</row>
    <row r="474" spans="1:91" ht="13.2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</row>
    <row r="475" spans="1:91" ht="13.2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</row>
    <row r="476" spans="1:91" ht="13.2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</row>
    <row r="477" spans="1:91" ht="13.2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</row>
    <row r="478" spans="1:91" ht="13.2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</row>
    <row r="479" spans="1:91" ht="13.2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</row>
    <row r="480" spans="1:91" ht="13.2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</row>
    <row r="481" spans="1:91" ht="13.2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</row>
    <row r="482" spans="1:91" ht="13.2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</row>
    <row r="483" spans="1:91" ht="13.2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</row>
    <row r="484" spans="1:91" ht="13.2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</row>
    <row r="485" spans="1:91" ht="13.2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</row>
    <row r="486" spans="1:91" ht="13.2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</row>
    <row r="487" spans="1:91" ht="13.2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</row>
    <row r="488" spans="1:91" ht="13.2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</row>
    <row r="489" spans="1:91" ht="13.2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</row>
    <row r="490" spans="1:91" ht="13.2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</row>
    <row r="491" spans="1:91" ht="13.2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</row>
    <row r="492" spans="1:91" ht="13.2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</row>
    <row r="493" spans="1:91" ht="13.2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</row>
    <row r="494" spans="1:91" ht="13.2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</row>
    <row r="495" spans="1:91" ht="13.2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</row>
    <row r="496" spans="1:91" ht="13.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</row>
    <row r="497" spans="1:91" ht="13.2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</row>
    <row r="498" spans="1:91" ht="13.2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</row>
    <row r="499" spans="1:91" ht="13.2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</row>
    <row r="500" spans="1:91" ht="13.2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</row>
    <row r="501" spans="1:91" ht="13.2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</row>
    <row r="502" spans="1:91" ht="13.2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</row>
    <row r="503" spans="1:91" ht="13.2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</row>
    <row r="504" spans="1:91" ht="13.2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</row>
    <row r="505" spans="1:91" ht="13.2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</row>
    <row r="506" spans="1:91" ht="13.2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</row>
    <row r="507" spans="1:91" ht="13.2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</row>
    <row r="508" spans="1:91" ht="13.2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</row>
    <row r="509" spans="1:91" ht="13.2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</row>
    <row r="510" spans="1:91" ht="13.2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</row>
    <row r="511" spans="1:91" ht="13.2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</row>
    <row r="512" spans="1:91" ht="13.2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</row>
    <row r="513" spans="1:91" ht="13.2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</row>
    <row r="514" spans="1:91" ht="13.2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</row>
    <row r="515" spans="1:91" ht="13.2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</row>
    <row r="516" spans="1:91" ht="13.2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</row>
    <row r="517" spans="1:91" ht="13.2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</row>
    <row r="518" spans="1:91" ht="13.2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</row>
    <row r="519" spans="1:91" ht="13.2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</row>
    <row r="520" spans="1:91" ht="13.2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</row>
    <row r="521" spans="1:91" ht="13.2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</row>
    <row r="522" spans="1:91" ht="13.2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</row>
    <row r="523" spans="1:91" ht="13.2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</row>
    <row r="524" spans="1:91" ht="13.2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</row>
    <row r="525" spans="1:91" ht="13.2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</row>
    <row r="526" spans="1:91" ht="13.2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</row>
    <row r="527" spans="1:91" ht="13.2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</row>
    <row r="528" spans="1:91" ht="13.2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</row>
    <row r="529" spans="1:91" ht="13.2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</row>
    <row r="530" spans="1:91" ht="13.2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</row>
    <row r="531" spans="1:91" ht="13.2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</row>
    <row r="532" spans="1:91" ht="13.2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</row>
    <row r="533" spans="1:91" ht="13.2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</row>
    <row r="534" spans="1:91" ht="13.2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</row>
    <row r="535" spans="1:91" ht="13.2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</row>
    <row r="536" spans="1:91" ht="13.2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</row>
    <row r="537" spans="1:91" ht="13.2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</row>
    <row r="538" spans="1:91" ht="13.2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</row>
    <row r="539" spans="1:91" ht="13.2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</row>
    <row r="540" spans="1:91" ht="13.2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</row>
    <row r="541" spans="1:91" ht="13.2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</row>
    <row r="542" spans="1:91" ht="13.2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</row>
    <row r="543" spans="1:91" ht="13.2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</row>
    <row r="544" spans="1:91" ht="13.2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</row>
    <row r="545" spans="1:91" ht="13.2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</row>
    <row r="546" spans="1:91" ht="13.2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</row>
    <row r="547" spans="1:91" ht="13.2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</row>
    <row r="548" spans="1:91" ht="13.2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</row>
    <row r="549" spans="1:91" ht="13.2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</row>
    <row r="550" spans="1:91" ht="13.2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</row>
    <row r="551" spans="1:91" ht="13.2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</row>
    <row r="552" spans="1:91" ht="13.2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</row>
    <row r="553" spans="1:91" ht="13.2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</row>
    <row r="554" spans="1:91" ht="13.2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</row>
    <row r="555" spans="1:91" ht="13.2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</row>
    <row r="556" spans="1:91" ht="13.2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</row>
    <row r="557" spans="1:91" ht="13.2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</row>
    <row r="558" spans="1:91" ht="13.2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</row>
    <row r="559" spans="1:91" ht="13.2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</row>
    <row r="560" spans="1:91" ht="13.2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</row>
    <row r="561" spans="1:91" ht="13.2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</row>
    <row r="562" spans="1:91" ht="13.2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</row>
    <row r="563" spans="1:91" ht="13.2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</row>
    <row r="564" spans="1:91" ht="13.2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</row>
    <row r="565" spans="1:91" ht="13.2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</row>
    <row r="566" spans="1:91" ht="13.2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</row>
    <row r="567" spans="1:91" ht="13.2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</row>
    <row r="568" spans="1:91" ht="13.2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</row>
    <row r="569" spans="1:91" ht="13.2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</row>
    <row r="570" spans="1:91" ht="13.2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</row>
    <row r="571" spans="1:91" ht="13.2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</row>
    <row r="572" spans="1:91" ht="13.2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</row>
    <row r="573" spans="1:91" ht="13.2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</row>
    <row r="574" spans="1:91" ht="13.2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</row>
    <row r="575" spans="1:91" ht="13.2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</row>
    <row r="576" spans="1:91" ht="13.2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</row>
    <row r="577" spans="1:91" ht="13.2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</row>
    <row r="578" spans="1:91" ht="13.2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</row>
    <row r="579" spans="1:91" ht="13.2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</row>
    <row r="580" spans="1:91" ht="13.2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</row>
    <row r="581" spans="1:91" ht="13.2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</row>
    <row r="582" spans="1:91" ht="13.2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</row>
    <row r="583" spans="1:91" ht="13.2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</row>
    <row r="584" spans="1:91" ht="13.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</row>
    <row r="585" spans="1:91" ht="13.2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</row>
    <row r="586" spans="1:91" ht="13.2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</row>
    <row r="587" spans="1:91" ht="13.2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</row>
    <row r="588" spans="1:91" ht="13.2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</row>
    <row r="589" spans="1:91" ht="13.2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</row>
    <row r="590" spans="1:91" ht="13.2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</row>
    <row r="591" spans="1:91" ht="13.2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</row>
    <row r="592" spans="1:91" ht="13.2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</row>
    <row r="593" spans="1:91" ht="13.2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</row>
    <row r="594" spans="1:91" ht="13.2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</row>
    <row r="595" spans="1:91" ht="13.2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</row>
    <row r="596" spans="1:91" ht="13.2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</row>
    <row r="597" spans="1:91" ht="13.2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</row>
    <row r="598" spans="1:91" ht="13.2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</row>
    <row r="599" spans="1:91" ht="13.2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</row>
    <row r="600" spans="1:91" ht="13.2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</row>
    <row r="601" spans="1:91" ht="13.2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</row>
    <row r="602" spans="1:91" ht="13.2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</row>
    <row r="603" spans="1:91" ht="13.2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</row>
    <row r="604" spans="1:91" ht="13.2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</row>
    <row r="605" spans="1:91" ht="13.2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</row>
    <row r="606" spans="1:91" ht="13.2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</row>
    <row r="607" spans="1:91" ht="13.2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</row>
    <row r="608" spans="1:91" ht="13.2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</row>
    <row r="609" spans="1:91" ht="13.2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</row>
    <row r="610" spans="1:91" ht="13.2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</row>
    <row r="611" spans="1:91" ht="13.2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</row>
    <row r="612" spans="1:91" ht="13.2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</row>
    <row r="613" spans="1:91" ht="13.2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</row>
    <row r="614" spans="1:91" ht="13.2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</row>
    <row r="615" spans="1:91" ht="13.2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</row>
    <row r="616" spans="1:91" ht="13.2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</row>
    <row r="617" spans="1:91" ht="13.2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</row>
    <row r="618" spans="1:91" ht="13.2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</row>
    <row r="619" spans="1:91" ht="13.2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</row>
    <row r="620" spans="1:91" ht="13.2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</row>
    <row r="621" spans="1:91" ht="13.2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</row>
    <row r="622" spans="1:91" ht="13.2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</row>
    <row r="623" spans="1:91" ht="13.2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</row>
    <row r="624" spans="1:91" ht="13.2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</row>
    <row r="625" spans="1:91" ht="13.2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</row>
    <row r="626" spans="1:91" ht="13.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</row>
    <row r="627" spans="1:91" ht="13.2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</row>
    <row r="628" spans="1:91" ht="13.2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</row>
    <row r="629" spans="1:91" ht="13.2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</row>
    <row r="630" spans="1:91" ht="13.2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</row>
    <row r="631" spans="1:91" ht="13.2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</row>
    <row r="632" spans="1:91" ht="13.2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</row>
    <row r="633" spans="1:91" ht="13.2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</row>
    <row r="634" spans="1:91" ht="13.2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</row>
    <row r="635" spans="1:91" ht="13.2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</row>
    <row r="636" spans="1:91" ht="13.2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</row>
    <row r="637" spans="1:91" ht="13.2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</row>
    <row r="638" spans="1:91" ht="13.2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</row>
    <row r="639" spans="1:91" ht="13.2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</row>
    <row r="640" spans="1:91" ht="13.2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</row>
    <row r="641" spans="1:91" ht="13.2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</row>
    <row r="642" spans="1:91" ht="13.2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</row>
    <row r="643" spans="1:91" ht="13.2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</row>
    <row r="644" spans="1:91" ht="13.2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</row>
    <row r="645" spans="1:91" ht="13.2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</row>
    <row r="646" spans="1:91" ht="13.2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</row>
    <row r="647" spans="1:91" ht="13.2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</row>
    <row r="648" spans="1:91" ht="13.2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</row>
    <row r="649" spans="1:91" ht="13.2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</row>
    <row r="650" spans="1:91" ht="13.2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</row>
    <row r="651" spans="1:91" ht="13.2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</row>
    <row r="652" spans="1:91" ht="13.2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</row>
    <row r="653" spans="1:91" ht="13.2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</row>
    <row r="654" spans="1:91" ht="13.2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</row>
    <row r="655" spans="1:91" ht="13.2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</row>
    <row r="656" spans="1:91" ht="13.2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</row>
    <row r="657" spans="1:91" ht="13.2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</row>
    <row r="658" spans="1:91" ht="13.2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</row>
    <row r="659" spans="1:91" ht="13.2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</row>
    <row r="660" spans="1:91" ht="13.2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</row>
    <row r="661" spans="1:91" ht="13.2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</row>
    <row r="662" spans="1:91" ht="13.2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</row>
    <row r="663" spans="1:91" ht="13.2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</row>
    <row r="664" spans="1:91" ht="13.2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</row>
    <row r="665" spans="1:91" ht="13.2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</row>
    <row r="666" spans="1:91" ht="13.2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</row>
    <row r="667" spans="1:91" ht="13.2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</row>
    <row r="668" spans="1:91" ht="13.2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</row>
    <row r="669" spans="1:91" ht="13.2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</row>
    <row r="670" spans="1:91" ht="13.2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</row>
    <row r="671" spans="1:91" ht="13.2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</row>
    <row r="672" spans="1:91" ht="13.2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</row>
    <row r="673" spans="1:91" ht="13.2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</row>
    <row r="674" spans="1:91" ht="13.2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</row>
    <row r="675" spans="1:91" ht="13.2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</row>
    <row r="676" spans="1:91" ht="13.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</row>
    <row r="677" spans="1:91" ht="13.2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</row>
    <row r="678" spans="1:91" ht="13.2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</row>
    <row r="679" spans="1:91" ht="13.2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</row>
    <row r="680" spans="1:91" ht="13.2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</row>
    <row r="681" spans="1:91" ht="13.2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</row>
    <row r="682" spans="1:91" ht="13.2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</row>
    <row r="683" spans="1:91" ht="13.2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</row>
    <row r="684" spans="1:91" ht="13.2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</row>
    <row r="685" spans="1:91" ht="13.2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</row>
    <row r="686" spans="1:91" ht="13.2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</row>
    <row r="687" spans="1:91" ht="13.2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</row>
    <row r="688" spans="1:91" ht="13.2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</row>
    <row r="689" spans="1:91" ht="13.2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</row>
    <row r="690" spans="1:91" ht="13.2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</row>
    <row r="691" spans="1:91" ht="13.2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</row>
    <row r="692" spans="1:91" ht="13.2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</row>
    <row r="693" spans="1:91" ht="13.2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</row>
    <row r="694" spans="1:91" ht="13.2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</row>
    <row r="695" spans="1:91" ht="13.2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</row>
    <row r="696" spans="1:91" ht="13.2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</row>
    <row r="697" spans="1:91" ht="13.2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</row>
    <row r="698" spans="1:91" ht="13.2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</row>
    <row r="699" spans="1:91" ht="13.2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</row>
    <row r="700" spans="1:91" ht="13.2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</row>
    <row r="701" spans="1:91" ht="13.2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</row>
    <row r="702" spans="1:91" ht="13.2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</row>
    <row r="703" spans="1:91" ht="13.2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</row>
    <row r="704" spans="1:91" ht="13.2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</row>
    <row r="705" spans="1:91" ht="13.2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</row>
    <row r="706" spans="1:91" ht="13.2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</row>
    <row r="707" spans="1:91" ht="13.2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</row>
    <row r="708" spans="1:91" ht="13.2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</row>
    <row r="709" spans="1:91" ht="13.2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</row>
    <row r="710" spans="1:91" ht="13.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</row>
    <row r="711" spans="1:91" ht="13.2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</row>
    <row r="712" spans="1:91" ht="13.2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</row>
    <row r="713" spans="1:91" ht="13.2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</row>
    <row r="714" spans="1:91" ht="13.2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</row>
    <row r="715" spans="1:91" ht="13.2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</row>
    <row r="716" spans="1:91" ht="13.2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</row>
    <row r="717" spans="1:91" ht="13.2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</row>
    <row r="718" spans="1:91" ht="13.2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</row>
    <row r="719" spans="1:91" ht="13.2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</row>
    <row r="720" spans="1:91" ht="13.2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</row>
    <row r="721" spans="1:91" ht="13.2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</row>
    <row r="722" spans="1:91" ht="13.2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</row>
    <row r="723" spans="1:91" ht="13.2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</row>
    <row r="724" spans="1:91" ht="13.2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</row>
    <row r="725" spans="1:91" ht="13.2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</row>
    <row r="726" spans="1:91" ht="13.2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</row>
    <row r="727" spans="1:91" ht="13.2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</row>
    <row r="728" spans="1:91" ht="13.2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</row>
    <row r="729" spans="1:91" ht="13.2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</row>
    <row r="730" spans="1:91" ht="13.2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</row>
    <row r="731" spans="1:91" ht="13.2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</row>
    <row r="732" spans="1:91" ht="13.2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</row>
    <row r="733" spans="1:91" ht="13.2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</row>
    <row r="734" spans="1:91" ht="13.2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</row>
    <row r="735" spans="1:91" ht="13.2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</row>
    <row r="736" spans="1:91" ht="13.2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</row>
    <row r="737" spans="1:91" ht="13.2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</row>
    <row r="738" spans="1:91" ht="13.2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</row>
    <row r="739" spans="1:91" ht="13.2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</row>
    <row r="740" spans="1:91" ht="13.2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</row>
    <row r="741" spans="1:91" ht="13.2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</row>
    <row r="742" spans="1:91" ht="13.2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</row>
    <row r="743" spans="1:91" ht="13.2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</row>
    <row r="744" spans="1:91" ht="13.2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</row>
    <row r="745" spans="1:91" ht="13.2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</row>
    <row r="746" spans="1:91" ht="13.2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</row>
    <row r="747" spans="1:91" ht="13.2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</row>
    <row r="748" spans="1:91" ht="13.2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</row>
    <row r="749" spans="1:91" ht="13.2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</row>
    <row r="750" spans="1:91" ht="13.2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</row>
    <row r="751" spans="1:91" ht="13.2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</row>
    <row r="752" spans="1:91" ht="13.2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</row>
    <row r="753" spans="1:91" ht="13.2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</row>
    <row r="754" spans="1:91" ht="13.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</row>
    <row r="755" spans="1:91" ht="13.2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</row>
    <row r="756" spans="1:91" ht="13.2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</row>
    <row r="757" spans="1:91" ht="13.2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</row>
    <row r="758" spans="1:91" ht="13.2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</row>
    <row r="759" spans="1:91" ht="13.2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</row>
    <row r="760" spans="1:91" ht="13.2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</row>
    <row r="761" spans="1:91" ht="13.2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</row>
    <row r="762" spans="1:91" ht="13.2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</row>
    <row r="763" spans="1:91" ht="13.2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</row>
    <row r="764" spans="1:91" ht="13.2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</row>
    <row r="765" spans="1:91" ht="13.2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</row>
    <row r="766" spans="1:91" ht="13.2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</row>
    <row r="767" spans="1:91" ht="13.2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</row>
    <row r="768" spans="1:91" ht="13.2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</row>
    <row r="769" spans="1:91" ht="13.2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</row>
    <row r="770" spans="1:91" ht="13.2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</row>
    <row r="771" spans="1:91" ht="13.2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</row>
    <row r="772" spans="1:91" ht="13.2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</row>
    <row r="773" spans="1:91" ht="13.2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</row>
    <row r="774" spans="1:91" ht="13.2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</row>
    <row r="775" spans="1:91" ht="13.2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</row>
    <row r="776" spans="1:91" ht="13.2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</row>
    <row r="777" spans="1:91" ht="13.2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</row>
    <row r="778" spans="1:91" ht="13.2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</row>
    <row r="779" spans="1:91" ht="13.2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</row>
    <row r="780" spans="1:91" ht="13.2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</row>
    <row r="781" spans="1:91" ht="13.2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</row>
    <row r="782" spans="1:91" ht="13.2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</row>
    <row r="783" spans="1:91" ht="13.2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</row>
    <row r="784" spans="1:91" ht="13.2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</row>
    <row r="785" spans="1:91" ht="13.2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</row>
    <row r="786" spans="1:91" ht="13.2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</row>
    <row r="787" spans="1:91" ht="13.2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</row>
    <row r="788" spans="1:91" ht="13.2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</row>
    <row r="789" spans="1:91" ht="13.2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</row>
    <row r="790" spans="1:91" ht="13.2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</row>
    <row r="791" spans="1:91" ht="13.2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</row>
    <row r="792" spans="1:91" ht="13.2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</row>
    <row r="793" spans="1:91" ht="13.2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</row>
    <row r="794" spans="1:91" ht="13.2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</row>
    <row r="795" spans="1:91" ht="13.2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</row>
    <row r="796" spans="1:91" ht="13.2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</row>
    <row r="797" spans="1:91" ht="13.2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</row>
    <row r="798" spans="1:91" ht="13.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</row>
    <row r="799" spans="1:91" ht="13.2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</row>
    <row r="800" spans="1:91" ht="13.2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</row>
    <row r="801" spans="1:91" ht="13.2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</row>
    <row r="802" spans="1:91" ht="13.2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</row>
    <row r="803" spans="1:91" ht="13.2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</row>
    <row r="804" spans="1:91" ht="13.2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</row>
    <row r="805" spans="1:91" ht="13.2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</row>
    <row r="806" spans="1:91" ht="13.2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</row>
    <row r="807" spans="1:91" ht="13.2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</row>
    <row r="808" spans="1:91" ht="13.2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</row>
    <row r="809" spans="1:91" ht="13.2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</row>
    <row r="810" spans="1:91" ht="13.2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</row>
    <row r="811" spans="1:91" ht="13.2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</row>
    <row r="812" spans="1:91" ht="13.2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</row>
    <row r="813" spans="1:91" ht="13.2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</row>
    <row r="814" spans="1:91" ht="13.2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</row>
    <row r="815" spans="1:91" ht="13.2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</row>
    <row r="816" spans="1:91" ht="13.2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</row>
    <row r="817" spans="1:91" ht="13.2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</row>
    <row r="818" spans="1:91" ht="13.2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</row>
    <row r="819" spans="1:91" ht="13.2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</row>
    <row r="820" spans="1:91" ht="13.2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</row>
    <row r="821" spans="1:91" ht="13.2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</row>
    <row r="822" spans="1:91" ht="13.2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</row>
    <row r="823" spans="1:91" ht="13.2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</row>
    <row r="824" spans="1:91" ht="13.2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</row>
    <row r="825" spans="1:91" ht="13.2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</row>
    <row r="826" spans="1:91" ht="13.2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</row>
    <row r="827" spans="1:91" ht="13.2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</row>
    <row r="828" spans="1:91" ht="13.2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</row>
    <row r="829" spans="1:91" ht="13.2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</row>
    <row r="830" spans="1:91" ht="13.2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</row>
    <row r="831" spans="1:91" ht="13.2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</row>
    <row r="832" spans="1:91" ht="13.2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</row>
    <row r="833" spans="1:91" ht="13.2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</row>
    <row r="834" spans="1:91" ht="13.2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</row>
    <row r="835" spans="1:91" ht="13.2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</row>
    <row r="836" spans="1:91" ht="13.2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</row>
    <row r="837" spans="1:91" ht="13.2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</row>
    <row r="838" spans="1:91" ht="13.2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</row>
    <row r="839" spans="1:91" ht="13.2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</row>
    <row r="840" spans="1:91" ht="13.2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</row>
    <row r="841" spans="1:91" ht="13.2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</row>
    <row r="842" spans="1:91" ht="13.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</row>
    <row r="843" spans="1:91" ht="13.2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</row>
    <row r="844" spans="1:91" ht="13.2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</row>
    <row r="845" spans="1:91" ht="13.2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</row>
    <row r="846" spans="1:91" ht="13.2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</row>
    <row r="847" spans="1:91" ht="13.2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</row>
    <row r="848" spans="1:91" ht="13.2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</row>
    <row r="849" spans="1:91" ht="13.2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</row>
    <row r="850" spans="1:91" ht="13.2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</row>
    <row r="851" spans="1:91" ht="13.2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</row>
    <row r="852" spans="1:91" ht="13.2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</row>
    <row r="853" spans="1:91" ht="13.2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</row>
    <row r="854" spans="1:91" ht="13.2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</row>
    <row r="855" spans="1:91" ht="13.2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</row>
    <row r="856" spans="1:91" ht="13.2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</row>
    <row r="857" spans="1:91" ht="13.2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</row>
    <row r="858" spans="1:91" ht="13.2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</row>
    <row r="859" spans="1:91" ht="13.2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</row>
    <row r="860" spans="1:91" ht="13.2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</row>
    <row r="861" spans="1:91" ht="13.2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</row>
    <row r="862" spans="1:91" ht="13.2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</row>
    <row r="863" spans="1:91" ht="13.2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</row>
    <row r="864" spans="1:91" ht="13.2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</row>
    <row r="865" spans="1:91" ht="13.2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</row>
    <row r="866" spans="1:91" ht="13.2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</row>
    <row r="867" spans="1:91" ht="13.2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</row>
    <row r="868" spans="1:91" ht="13.2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</row>
    <row r="869" spans="1:91" ht="13.2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</row>
    <row r="870" spans="1:91" ht="13.2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</row>
    <row r="871" spans="1:91" ht="13.2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</row>
    <row r="872" spans="1:91" ht="13.2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</row>
    <row r="873" spans="1:91" ht="13.2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</row>
    <row r="874" spans="1:91" ht="13.2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</row>
    <row r="875" spans="1:91" ht="13.2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</row>
    <row r="876" spans="1:91" ht="13.2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</row>
    <row r="877" spans="1:91" ht="13.2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</row>
    <row r="878" spans="1:91" ht="13.2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</row>
    <row r="879" spans="1:91" ht="13.2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</row>
    <row r="880" spans="1:91" ht="13.2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</row>
    <row r="881" spans="1:91" ht="13.2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</row>
    <row r="882" spans="1:91" ht="13.2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</row>
    <row r="883" spans="1:91" ht="13.2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</row>
    <row r="884" spans="1:91" ht="13.2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</row>
    <row r="885" spans="1:91" ht="13.2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</row>
    <row r="886" spans="1:91" ht="13.2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</row>
    <row r="887" spans="1:91" ht="13.2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</row>
    <row r="888" spans="1:91" ht="13.2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</row>
    <row r="889" spans="1:91" ht="13.2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</row>
    <row r="890" spans="1:91" ht="13.2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</row>
    <row r="891" spans="1:91" ht="13.2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</row>
    <row r="892" spans="1:91" ht="13.2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</row>
    <row r="893" spans="1:91" ht="13.2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</row>
    <row r="894" spans="1:91" ht="13.2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</row>
    <row r="895" spans="1:91" ht="13.2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</row>
    <row r="896" spans="1:91" ht="13.2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</row>
    <row r="897" spans="1:91" ht="13.2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</row>
    <row r="898" spans="1:91" ht="13.2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</row>
    <row r="899" spans="1:91" ht="13.2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</row>
    <row r="900" spans="1:91" ht="13.2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</row>
    <row r="901" spans="1:91" ht="13.2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</row>
    <row r="902" spans="1:91" ht="13.2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</row>
    <row r="903" spans="1:91" ht="13.2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</row>
    <row r="904" spans="1:91" ht="13.2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</row>
    <row r="905" spans="1:91" ht="13.2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</row>
    <row r="906" spans="1:91" ht="13.2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</row>
    <row r="907" spans="1:91" ht="13.2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</row>
    <row r="908" spans="1:91" ht="13.2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</row>
    <row r="909" spans="1:91" ht="13.2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</row>
    <row r="910" spans="1:91" ht="13.2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</row>
    <row r="911" spans="1:91" ht="13.2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</row>
    <row r="912" spans="1:91" ht="13.2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</row>
    <row r="913" spans="1:91" ht="13.2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</row>
    <row r="914" spans="1:91" ht="13.2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</row>
    <row r="915" spans="1:91" ht="13.2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</row>
    <row r="916" spans="1:91" ht="13.2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</row>
    <row r="917" spans="1:91" ht="13.2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</row>
    <row r="918" spans="1:91" ht="13.2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</row>
    <row r="919" spans="1:91" ht="13.2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</row>
    <row r="920" spans="1:91" ht="13.2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</row>
    <row r="921" spans="1:91" ht="13.2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</row>
    <row r="922" spans="1:91" ht="13.2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</row>
    <row r="923" spans="1:91" ht="13.2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</row>
    <row r="924" spans="1:91" ht="13.2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</row>
    <row r="925" spans="1:91" ht="13.2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</row>
    <row r="926" spans="1:91" ht="13.2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</row>
    <row r="927" spans="1:91" ht="13.2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</row>
    <row r="928" spans="1:91" ht="13.2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</row>
    <row r="929" spans="1:91" ht="13.2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</row>
    <row r="930" spans="1:91" ht="13.2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</row>
    <row r="931" spans="1:91" ht="13.2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</row>
    <row r="932" spans="1:91" ht="13.2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</row>
    <row r="933" spans="1:91" ht="13.2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</row>
    <row r="934" spans="1:91" ht="13.2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</row>
    <row r="935" spans="1:91" ht="13.2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</row>
    <row r="936" spans="1:91" ht="13.2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</row>
    <row r="937" spans="1:91" ht="13.2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</row>
    <row r="938" spans="1:91" ht="13.2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</row>
    <row r="939" spans="1:91" ht="13.2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</row>
    <row r="940" spans="1:91" ht="13.2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</row>
    <row r="941" spans="1:91" ht="13.2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</row>
    <row r="942" spans="1:91" ht="13.2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</row>
    <row r="943" spans="1:91" ht="13.2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</row>
    <row r="944" spans="1:91" ht="13.2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</row>
    <row r="945" spans="1:91" ht="13.2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</row>
    <row r="946" spans="1:91" ht="13.2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</row>
    <row r="947" spans="1:91" ht="13.2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</row>
    <row r="948" spans="1:91" ht="13.2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</row>
    <row r="949" spans="1:91" ht="13.2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</row>
    <row r="950" spans="1:91" ht="13.2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</row>
    <row r="951" spans="1:91" ht="13.2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</row>
    <row r="952" spans="1:91" ht="13.2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</row>
    <row r="953" spans="1:91" ht="13.2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</row>
    <row r="954" spans="1:91" ht="13.2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</row>
    <row r="955" spans="1:91" ht="13.2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</row>
    <row r="956" spans="1:91" ht="13.2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</row>
    <row r="957" spans="1:91" ht="13.2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</row>
    <row r="958" spans="1:91" ht="13.2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</row>
    <row r="959" spans="1:91" ht="13.2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</row>
    <row r="960" spans="1:91" ht="13.2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</row>
    <row r="961" spans="1:91" ht="13.2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</row>
    <row r="962" spans="1:91" ht="13.2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</row>
    <row r="963" spans="1:91" ht="13.2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</row>
    <row r="964" spans="1:91" ht="13.2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</row>
    <row r="965" spans="1:91" ht="13.2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</row>
    <row r="966" spans="1:91" ht="13.2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</row>
    <row r="967" spans="1:91" ht="13.2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</row>
    <row r="968" spans="1:91" ht="13.2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</row>
    <row r="969" spans="1:91" ht="13.2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</row>
    <row r="970" spans="1:91" ht="13.2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</row>
    <row r="971" spans="1:91" ht="13.2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</row>
    <row r="972" spans="1:91" ht="13.2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</row>
    <row r="973" spans="1:91" ht="13.2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</row>
    <row r="974" spans="1:91" ht="13.2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</row>
    <row r="975" spans="1:91" ht="13.2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</row>
    <row r="976" spans="1:91" ht="13.2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</row>
    <row r="977" spans="1:91" ht="13.2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</row>
    <row r="978" spans="1:91" ht="13.2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</row>
    <row r="979" spans="1:91" ht="13.2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</row>
    <row r="980" spans="1:91" ht="13.2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</row>
    <row r="981" spans="1:91" ht="13.2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</row>
    <row r="982" spans="1:91" ht="13.2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</row>
    <row r="983" spans="1:91" ht="13.2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</row>
    <row r="984" spans="1:91" ht="13.2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</row>
    <row r="985" spans="1:91" ht="13.2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</row>
    <row r="986" spans="1:91" ht="13.2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</row>
    <row r="987" spans="1:91" ht="13.2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</row>
    <row r="988" spans="1:91" ht="13.2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</row>
    <row r="989" spans="1:91" ht="13.2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</row>
    <row r="990" spans="1:91" ht="13.2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864"/>
  <sheetViews>
    <sheetView tabSelected="1" workbookViewId="0">
      <selection activeCell="K14" sqref="K14"/>
    </sheetView>
  </sheetViews>
  <sheetFormatPr defaultColWidth="12.6640625" defaultRowHeight="15.75" customHeight="1"/>
  <cols>
    <col min="1" max="1" width="18.33203125" bestFit="1" customWidth="1"/>
    <col min="2" max="2" width="18.33203125" customWidth="1"/>
    <col min="3" max="10" width="10.77734375" bestFit="1" customWidth="1"/>
    <col min="11" max="11" width="11.44140625" style="36" bestFit="1" customWidth="1"/>
    <col min="12" max="40" width="10.77734375" bestFit="1" customWidth="1"/>
  </cols>
  <sheetData>
    <row r="1" spans="1:40" ht="13.2" customHeight="1">
      <c r="A1" s="4">
        <f>ตัวคูณ!B2</f>
        <v>0.01</v>
      </c>
      <c r="B1" s="4"/>
      <c r="C1" s="44" t="s">
        <v>98</v>
      </c>
      <c r="D1" s="45"/>
      <c r="E1" s="45"/>
      <c r="F1" s="45"/>
      <c r="G1" s="45"/>
      <c r="H1" s="45"/>
      <c r="I1" s="45"/>
      <c r="J1" s="45"/>
      <c r="K1" s="46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s="43" customFormat="1" ht="13.2" customHeight="1">
      <c r="A2" s="40" t="s">
        <v>108</v>
      </c>
      <c r="B2" s="40" t="s">
        <v>99</v>
      </c>
      <c r="C2" s="40">
        <v>33</v>
      </c>
      <c r="D2" s="40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39" t="s">
        <v>8</v>
      </c>
      <c r="J2" s="41" t="s">
        <v>9</v>
      </c>
      <c r="K2" s="42" t="s">
        <v>10</v>
      </c>
      <c r="L2" s="41" t="s">
        <v>11</v>
      </c>
      <c r="M2" s="41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1" t="s">
        <v>17</v>
      </c>
      <c r="S2" s="41" t="s">
        <v>18</v>
      </c>
      <c r="T2" s="41" t="s">
        <v>19</v>
      </c>
      <c r="U2" s="41" t="s">
        <v>20</v>
      </c>
      <c r="V2" s="41" t="s">
        <v>21</v>
      </c>
      <c r="W2" s="41" t="s">
        <v>22</v>
      </c>
      <c r="X2" s="41" t="s">
        <v>23</v>
      </c>
      <c r="Y2" s="41" t="s">
        <v>24</v>
      </c>
      <c r="Z2" s="41" t="s">
        <v>25</v>
      </c>
      <c r="AA2" s="41" t="s">
        <v>26</v>
      </c>
      <c r="AB2" s="41" t="s">
        <v>27</v>
      </c>
      <c r="AC2" s="41" t="s">
        <v>28</v>
      </c>
      <c r="AD2" s="41" t="s">
        <v>29</v>
      </c>
      <c r="AE2" s="41" t="s">
        <v>30</v>
      </c>
      <c r="AF2" s="41" t="s">
        <v>31</v>
      </c>
      <c r="AG2" s="41" t="s">
        <v>32</v>
      </c>
      <c r="AH2" s="41" t="s">
        <v>33</v>
      </c>
      <c r="AI2" s="41" t="s">
        <v>34</v>
      </c>
      <c r="AJ2" s="41" t="s">
        <v>35</v>
      </c>
      <c r="AK2" s="41" t="s">
        <v>36</v>
      </c>
      <c r="AL2" s="41" t="s">
        <v>37</v>
      </c>
      <c r="AM2" s="41" t="s">
        <v>38</v>
      </c>
      <c r="AN2" s="41" t="s">
        <v>39</v>
      </c>
    </row>
    <row r="3" spans="1:40" ht="15.75" customHeight="1">
      <c r="A3" s="10" t="s">
        <v>94</v>
      </c>
      <c r="B3" s="10" t="s">
        <v>100</v>
      </c>
      <c r="C3" s="38">
        <v>19022.07</v>
      </c>
      <c r="D3" s="34">
        <f t="shared" ref="D3:D9" si="0">(C3*4%)+C3</f>
        <v>19782.952799999999</v>
      </c>
      <c r="E3" s="34">
        <f>(D3*ตัวคูณ!$B$2)+D3</f>
        <v>19980.782327999998</v>
      </c>
      <c r="F3" s="34">
        <f>(E3*ตัวคูณ!$B$2)+E3</f>
        <v>20180.590151279997</v>
      </c>
      <c r="G3" s="34">
        <f>(F3*ตัวคูณ!$B$2)+F3</f>
        <v>20382.396052792796</v>
      </c>
      <c r="H3" s="34">
        <f>(G3*ตัวคูณ!$B$2)+G3</f>
        <v>20586.220013320723</v>
      </c>
      <c r="I3" s="34">
        <f>(H3*ตัวคูณ!$B$2)+H3</f>
        <v>20792.08221345393</v>
      </c>
      <c r="J3" s="37">
        <v>21000</v>
      </c>
      <c r="K3" s="37">
        <f>(J3*ตัวคูณ!$B$2)+J3</f>
        <v>21210</v>
      </c>
      <c r="L3" s="34">
        <f>(K3*ตัวคูณ!$B$2)+K3</f>
        <v>21422.1</v>
      </c>
      <c r="M3" s="34">
        <f>(L3*ตัวคูณ!$B$2)+L3</f>
        <v>21636.321</v>
      </c>
      <c r="N3" s="34">
        <f>(M3*ตัวคูณ!$B$2)+M3</f>
        <v>21852.684209999999</v>
      </c>
      <c r="O3" s="34">
        <f>(N3*ตัวคูณ!$B$2)+N3</f>
        <v>22071.2110521</v>
      </c>
      <c r="P3" s="34">
        <f>(O3*ตัวคูณ!$B$2)+O3</f>
        <v>22291.923162620998</v>
      </c>
      <c r="Q3" s="34">
        <f>(P3*ตัวคูณ!$B$2)+P3</f>
        <v>22514.842394247207</v>
      </c>
      <c r="R3" s="34">
        <f>(Q3*ตัวคูณ!$B$2)+Q3</f>
        <v>22739.990818189679</v>
      </c>
      <c r="S3" s="34">
        <f>(R3*ตัวคูณ!$B$2)+R3</f>
        <v>22967.390726371577</v>
      </c>
      <c r="T3" s="34">
        <f>(S3*ตัวคูณ!$B$2)+S3</f>
        <v>23197.064633635295</v>
      </c>
      <c r="U3" s="34">
        <f>(T3*ตัวคูณ!$B$2)+T3</f>
        <v>23429.035279971649</v>
      </c>
      <c r="V3" s="34">
        <f>(U3*ตัวคูณ!$B$2)+U3</f>
        <v>23663.325632771364</v>
      </c>
      <c r="W3" s="34">
        <f>(V3*ตัวคูณ!$B$2)+V3</f>
        <v>23899.958889099078</v>
      </c>
      <c r="X3" s="34">
        <f>(W3*ตัวคูณ!$B$2)+W3</f>
        <v>24138.958477990069</v>
      </c>
      <c r="Y3" s="34">
        <f>(X3*ตัวคูณ!$B$2)+X3</f>
        <v>24380.348062769968</v>
      </c>
      <c r="Z3" s="34">
        <f>(Y3*ตัวคูณ!$B$2)+Y3</f>
        <v>24624.151543397667</v>
      </c>
      <c r="AA3" s="34">
        <f>(Z3*ตัวคูณ!$B$2)+Z3</f>
        <v>24870.393058831643</v>
      </c>
      <c r="AB3" s="34">
        <f>(AA3*ตัวคูณ!$B$2)+AA3</f>
        <v>25119.096989419959</v>
      </c>
      <c r="AC3" s="34">
        <f>(AB3*ตัวคูณ!$B$2)+AB3</f>
        <v>25370.287959314159</v>
      </c>
      <c r="AD3" s="34">
        <f>(AC3*ตัวคูณ!$B$2)+AC3</f>
        <v>25623.990838907299</v>
      </c>
      <c r="AE3" s="34">
        <f>(AD3*ตัวคูณ!$B$2)+AD3</f>
        <v>25880.230747296373</v>
      </c>
      <c r="AF3" s="34">
        <f>(AE3*ตัวคูณ!$B$2)+AE3</f>
        <v>26139.033054769337</v>
      </c>
      <c r="AG3" s="34">
        <f>(AF3*ตัวคูณ!$B$2)+AF3</f>
        <v>26400.42338531703</v>
      </c>
      <c r="AH3" s="34">
        <f>(AG3*ตัวคูณ!$B$2)+AG3</f>
        <v>26664.427619170201</v>
      </c>
      <c r="AI3" s="34">
        <f>(AH3*ตัวคูณ!$B$2)+AH3</f>
        <v>26931.071895361903</v>
      </c>
      <c r="AJ3" s="34">
        <f>(AI3*ตัวคูณ!$B$2)+AI3</f>
        <v>27200.382614315524</v>
      </c>
      <c r="AK3" s="34">
        <f>(AJ3*ตัวคูณ!$B$2)+AJ3</f>
        <v>27472.386440458678</v>
      </c>
      <c r="AL3" s="34">
        <f>(AK3*ตัวคูณ!$B$2)+AK3</f>
        <v>27747.110304863265</v>
      </c>
      <c r="AM3" s="34">
        <f>(AL3*ตัวคูณ!$B$2)+AL3</f>
        <v>28024.581407911897</v>
      </c>
      <c r="AN3" s="34">
        <f>(AM3*ตัวคูณ!$B$2)+AM3</f>
        <v>28304.827221991018</v>
      </c>
    </row>
    <row r="4" spans="1:40" ht="13.2" customHeight="1">
      <c r="A4" s="10" t="s">
        <v>94</v>
      </c>
      <c r="B4" s="10" t="s">
        <v>101</v>
      </c>
      <c r="C4" s="38">
        <v>20743.11</v>
      </c>
      <c r="D4" s="34">
        <f t="shared" si="0"/>
        <v>21572.8344</v>
      </c>
      <c r="E4" s="34">
        <f>(D4*ตัวคูณ!$B$2)+D4</f>
        <v>21788.562743999999</v>
      </c>
      <c r="F4" s="34">
        <f>(E4*ตัวคูณ!$B$2)+E4</f>
        <v>22006.448371439998</v>
      </c>
      <c r="G4" s="34">
        <f>(F4*ตัวคูณ!$B$2)+F4</f>
        <v>22226.512855154397</v>
      </c>
      <c r="H4" s="34">
        <f>(G4*ตัวคูณ!$B$2)+G4</f>
        <v>22448.777983705942</v>
      </c>
      <c r="I4" s="34">
        <f>(H4*ตัวคูณ!$B$2)+H4</f>
        <v>22673.265763543001</v>
      </c>
      <c r="J4" s="37">
        <v>22900</v>
      </c>
      <c r="K4" s="37">
        <f>(J4*ตัวคูณ!$B$2)+J4</f>
        <v>23129</v>
      </c>
      <c r="L4" s="34">
        <f>(K4*ตัวคูณ!$B$2)+K4</f>
        <v>23360.29</v>
      </c>
      <c r="M4" s="34">
        <f>(L4*ตัวคูณ!$B$2)+L4</f>
        <v>23593.892900000003</v>
      </c>
      <c r="N4" s="34">
        <f>(M4*ตัวคูณ!$B$2)+M4</f>
        <v>23829.831829000002</v>
      </c>
      <c r="O4" s="34">
        <f>(N4*ตัวคูณ!$B$2)+N4</f>
        <v>24068.130147290001</v>
      </c>
      <c r="P4" s="34">
        <f>(O4*ตัวคูณ!$B$2)+O4</f>
        <v>24308.811448762903</v>
      </c>
      <c r="Q4" s="34">
        <f>(P4*ตัวคูณ!$B$2)+P4</f>
        <v>24551.899563250532</v>
      </c>
      <c r="R4" s="34">
        <f>(Q4*ตัวคูณ!$B$2)+Q4</f>
        <v>24797.418558883037</v>
      </c>
      <c r="S4" s="34">
        <f>(R4*ตัวคูณ!$B$2)+R4</f>
        <v>25045.392744471868</v>
      </c>
      <c r="T4" s="34">
        <f>(S4*ตัวคูณ!$B$2)+S4</f>
        <v>25295.846671916588</v>
      </c>
      <c r="U4" s="34">
        <f>(T4*ตัวคูณ!$B$2)+T4</f>
        <v>25548.805138635755</v>
      </c>
      <c r="V4" s="34">
        <f>(U4*ตัวคูณ!$B$2)+U4</f>
        <v>25804.293190022112</v>
      </c>
      <c r="W4" s="34">
        <f>(V4*ตัวคูณ!$B$2)+V4</f>
        <v>26062.336121922333</v>
      </c>
      <c r="X4" s="34">
        <f>(W4*ตัวคูณ!$B$2)+W4</f>
        <v>26322.959483141556</v>
      </c>
      <c r="Y4" s="34">
        <f>(X4*ตัวคูณ!$B$2)+X4</f>
        <v>26586.189077972973</v>
      </c>
      <c r="Z4" s="34">
        <f>(Y4*ตัวคูณ!$B$2)+Y4</f>
        <v>26852.050968752701</v>
      </c>
      <c r="AA4" s="34">
        <f>(Z4*ตัวคูณ!$B$2)+Z4</f>
        <v>27120.57147844023</v>
      </c>
      <c r="AB4" s="34">
        <f>(AA4*ตัวคูณ!$B$2)+AA4</f>
        <v>27391.777193224632</v>
      </c>
      <c r="AC4" s="34">
        <f>(AB4*ตัวคูณ!$B$2)+AB4</f>
        <v>27665.694965156879</v>
      </c>
      <c r="AD4" s="34">
        <f>(AC4*ตัวคูณ!$B$2)+AC4</f>
        <v>27942.351914808449</v>
      </c>
      <c r="AE4" s="34">
        <f>(AD4*ตัวคูณ!$B$2)+AD4</f>
        <v>28221.775433956533</v>
      </c>
      <c r="AF4" s="34">
        <f>(AE4*ตัวคูณ!$B$2)+AE4</f>
        <v>28503.993188296099</v>
      </c>
      <c r="AG4" s="34">
        <f>(AF4*ตัวคูณ!$B$2)+AF4</f>
        <v>28789.033120179061</v>
      </c>
      <c r="AH4" s="34">
        <f>(AG4*ตัวคูณ!$B$2)+AG4</f>
        <v>29076.923451380851</v>
      </c>
      <c r="AI4" s="34">
        <f>(AH4*ตัวคูณ!$B$2)+AH4</f>
        <v>29367.692685894661</v>
      </c>
      <c r="AJ4" s="34">
        <f>(AI4*ตัวคูณ!$B$2)+AI4</f>
        <v>29661.369612753606</v>
      </c>
      <c r="AK4" s="34">
        <f>(AJ4*ตัวคูณ!$B$2)+AJ4</f>
        <v>29957.983308881143</v>
      </c>
      <c r="AL4" s="34">
        <f>(AK4*ตัวคูณ!$B$2)+AK4</f>
        <v>30257.563141969953</v>
      </c>
      <c r="AM4" s="34">
        <f>(AL4*ตัวคูณ!$B$2)+AL4</f>
        <v>30560.138773389652</v>
      </c>
      <c r="AN4" s="34">
        <f>(AM4*ตัวคูณ!$B$2)+AM4</f>
        <v>30865.740161123547</v>
      </c>
    </row>
    <row r="5" spans="1:40" ht="13.2" customHeight="1">
      <c r="A5" s="14" t="s">
        <v>102</v>
      </c>
      <c r="B5" s="10" t="s">
        <v>101</v>
      </c>
      <c r="C5" s="34">
        <v>20743.11</v>
      </c>
      <c r="D5" s="34">
        <f t="shared" si="0"/>
        <v>21572.8344</v>
      </c>
      <c r="E5" s="34">
        <f>(D5*ตัวคูณ!$B$2)+D5</f>
        <v>21788.562743999999</v>
      </c>
      <c r="F5" s="34">
        <f>(E5*ตัวคูณ!$B$2)+E5</f>
        <v>22006.448371439998</v>
      </c>
      <c r="G5" s="34">
        <f>(F5*ตัวคูณ!$B$2)+F5</f>
        <v>22226.512855154397</v>
      </c>
      <c r="H5" s="34">
        <f>(G5*ตัวคูณ!$B$2)+G5</f>
        <v>22448.777983705942</v>
      </c>
      <c r="I5" s="34">
        <f>(H5*ตัวคูณ!$B$2)+H5</f>
        <v>22673.265763543001</v>
      </c>
      <c r="J5" s="37">
        <v>22900</v>
      </c>
      <c r="K5" s="37">
        <f>(J5*ตัวคูณ!$B$2)+J5</f>
        <v>23129</v>
      </c>
      <c r="L5" s="34">
        <f>(K5*ตัวคูณ!$B$2)+K5</f>
        <v>23360.29</v>
      </c>
      <c r="M5" s="34">
        <f>(L5*ตัวคูณ!$B$2)+L5</f>
        <v>23593.892900000003</v>
      </c>
      <c r="N5" s="34">
        <f>(M5*ตัวคูณ!$B$2)+M5</f>
        <v>23829.831829000002</v>
      </c>
      <c r="O5" s="34">
        <f>(N5*ตัวคูณ!$B$2)+N5</f>
        <v>24068.130147290001</v>
      </c>
      <c r="P5" s="34">
        <f>(O5*ตัวคูณ!$B$2)+O5</f>
        <v>24308.811448762903</v>
      </c>
      <c r="Q5" s="34">
        <f>(P5*ตัวคูณ!$B$2)+P5</f>
        <v>24551.899563250532</v>
      </c>
      <c r="R5" s="34">
        <f>(Q5*ตัวคูณ!$B$2)+Q5</f>
        <v>24797.418558883037</v>
      </c>
      <c r="S5" s="34">
        <f>(R5*ตัวคูณ!$B$2)+R5</f>
        <v>25045.392744471868</v>
      </c>
      <c r="T5" s="34">
        <f>(S5*ตัวคูณ!$B$2)+S5</f>
        <v>25295.846671916588</v>
      </c>
      <c r="U5" s="34">
        <f>(T5*ตัวคูณ!$B$2)+T5</f>
        <v>25548.805138635755</v>
      </c>
      <c r="V5" s="34">
        <f>(U5*ตัวคูณ!$B$2)+U5</f>
        <v>25804.293190022112</v>
      </c>
      <c r="W5" s="34">
        <f>(V5*ตัวคูณ!$B$2)+V5</f>
        <v>26062.336121922333</v>
      </c>
      <c r="X5" s="34">
        <f>(W5*ตัวคูณ!$B$2)+W5</f>
        <v>26322.959483141556</v>
      </c>
      <c r="Y5" s="34">
        <f>(X5*ตัวคูณ!$B$2)+X5</f>
        <v>26586.189077972973</v>
      </c>
      <c r="Z5" s="34">
        <f>(Y5*ตัวคูณ!$B$2)+Y5</f>
        <v>26852.050968752701</v>
      </c>
      <c r="AA5" s="34">
        <f>(Z5*ตัวคูณ!$B$2)+Z5</f>
        <v>27120.57147844023</v>
      </c>
      <c r="AB5" s="34">
        <f>(AA5*ตัวคูณ!$B$2)+AA5</f>
        <v>27391.777193224632</v>
      </c>
      <c r="AC5" s="34">
        <f>(AB5*ตัวคูณ!$B$2)+AB5</f>
        <v>27665.694965156879</v>
      </c>
      <c r="AD5" s="34">
        <f>(AC5*ตัวคูณ!$B$2)+AC5</f>
        <v>27942.351914808449</v>
      </c>
      <c r="AE5" s="34">
        <f>(AD5*ตัวคูณ!$B$2)+AD5</f>
        <v>28221.775433956533</v>
      </c>
      <c r="AF5" s="34">
        <f>(AE5*ตัวคูณ!$B$2)+AE5</f>
        <v>28503.993188296099</v>
      </c>
      <c r="AG5" s="34">
        <f>(AF5*ตัวคูณ!$B$2)+AF5</f>
        <v>28789.033120179061</v>
      </c>
      <c r="AH5" s="34">
        <f>(AG5*ตัวคูณ!$B$2)+AG5</f>
        <v>29076.923451380851</v>
      </c>
      <c r="AI5" s="34">
        <f>(AH5*ตัวคูณ!$B$2)+AH5</f>
        <v>29367.692685894661</v>
      </c>
      <c r="AJ5" s="34">
        <f>(AI5*ตัวคูณ!$B$2)+AI5</f>
        <v>29661.369612753606</v>
      </c>
      <c r="AK5" s="34">
        <f>(AJ5*ตัวคูณ!$B$2)+AJ5</f>
        <v>29957.983308881143</v>
      </c>
      <c r="AL5" s="34">
        <f>(AK5*ตัวคูณ!$B$2)+AK5</f>
        <v>30257.563141969953</v>
      </c>
      <c r="AM5" s="34">
        <f>(AL5*ตัวคูณ!$B$2)+AL5</f>
        <v>30560.138773389652</v>
      </c>
      <c r="AN5" s="34">
        <f>(AM5*ตัวคูณ!$B$2)+AM5</f>
        <v>30865.740161123547</v>
      </c>
    </row>
    <row r="6" spans="1:40" ht="13.2" customHeight="1">
      <c r="A6" s="14" t="s">
        <v>103</v>
      </c>
      <c r="B6" s="10" t="s">
        <v>101</v>
      </c>
      <c r="C6" s="34">
        <v>11866.15</v>
      </c>
      <c r="D6" s="34">
        <f t="shared" si="0"/>
        <v>12340.796</v>
      </c>
      <c r="E6" s="34">
        <f>(D6*ตัวคูณ!$B$2)+D6</f>
        <v>12464.203960000001</v>
      </c>
      <c r="F6" s="34">
        <f>(E6*ตัวคูณ!$B$2)+E6</f>
        <v>12588.8459996</v>
      </c>
      <c r="G6" s="34">
        <f>(F6*ตัวคูณ!$B$2)+F6</f>
        <v>12714.734459596</v>
      </c>
      <c r="H6" s="34">
        <f>(G6*ตัวคูณ!$B$2)+G6</f>
        <v>12841.88180419196</v>
      </c>
      <c r="I6" s="34">
        <f>(H6*ตัวคูณ!$B$2)+H6</f>
        <v>12970.300622233879</v>
      </c>
      <c r="J6" s="37">
        <v>13100</v>
      </c>
      <c r="K6" s="37">
        <f>(J6*ตัวคูณ!$B$2)+J6</f>
        <v>13231</v>
      </c>
      <c r="L6" s="34">
        <f>(K6*ตัวคูณ!$B$2)+K6</f>
        <v>13363.31</v>
      </c>
      <c r="M6" s="34">
        <f>(L6*ตัวคูณ!$B$2)+L6</f>
        <v>13496.943099999999</v>
      </c>
      <c r="N6" s="34">
        <f>(M6*ตัวคูณ!$B$2)+M6</f>
        <v>13631.912530999998</v>
      </c>
      <c r="O6" s="34">
        <f>(N6*ตัวคูณ!$B$2)+N6</f>
        <v>13768.231656309998</v>
      </c>
      <c r="P6" s="34">
        <f>(O6*ตัวคูณ!$B$2)+O6</f>
        <v>13905.913972873097</v>
      </c>
      <c r="Q6" s="34">
        <f>(P6*ตัวคูณ!$B$2)+P6</f>
        <v>14044.973112601829</v>
      </c>
      <c r="R6" s="34">
        <f>(Q6*ตัวคูณ!$B$2)+Q6</f>
        <v>14185.422843727847</v>
      </c>
      <c r="S6" s="34">
        <f>(R6*ตัวคูณ!$B$2)+R6</f>
        <v>14327.277072165125</v>
      </c>
      <c r="T6" s="34">
        <f>(S6*ตัวคูณ!$B$2)+S6</f>
        <v>14470.549842886776</v>
      </c>
      <c r="U6" s="34">
        <f>(T6*ตัวคูณ!$B$2)+T6</f>
        <v>14615.255341315644</v>
      </c>
      <c r="V6" s="34">
        <f>(U6*ตัวคูณ!$B$2)+U6</f>
        <v>14761.4078947288</v>
      </c>
      <c r="W6" s="34">
        <f>(V6*ตัวคูณ!$B$2)+V6</f>
        <v>14909.021973676088</v>
      </c>
      <c r="X6" s="34">
        <f>(W6*ตัวคูณ!$B$2)+W6</f>
        <v>15058.11219341285</v>
      </c>
      <c r="Y6" s="34">
        <f>(X6*ตัวคูณ!$B$2)+X6</f>
        <v>15208.693315346978</v>
      </c>
      <c r="Z6" s="34">
        <f>(Y6*ตัวคูณ!$B$2)+Y6</f>
        <v>15360.780248500449</v>
      </c>
      <c r="AA6" s="34">
        <f>(Z6*ตัวคูณ!$B$2)+Z6</f>
        <v>15514.388050985453</v>
      </c>
      <c r="AB6" s="34">
        <f>(AA6*ตัวคูณ!$B$2)+AA6</f>
        <v>15669.531931495309</v>
      </c>
      <c r="AC6" s="34">
        <f>(AB6*ตัวคูณ!$B$2)+AB6</f>
        <v>15826.227250810261</v>
      </c>
      <c r="AD6" s="34">
        <f>(AC6*ตัวคูณ!$B$2)+AC6</f>
        <v>15984.489523318363</v>
      </c>
      <c r="AE6" s="34">
        <f>(AD6*ตัวคูณ!$B$2)+AD6</f>
        <v>16144.334418551547</v>
      </c>
      <c r="AF6" s="34">
        <f>(AE6*ตัวคูณ!$B$2)+AE6</f>
        <v>16305.777762737063</v>
      </c>
      <c r="AG6" s="34">
        <f>(AF6*ตัวคูณ!$B$2)+AF6</f>
        <v>16468.835540364435</v>
      </c>
      <c r="AH6" s="34">
        <f>(AG6*ตัวคูณ!$B$2)+AG6</f>
        <v>16633.523895768078</v>
      </c>
      <c r="AI6" s="34">
        <f>(AH6*ตัวคูณ!$B$2)+AH6</f>
        <v>16799.859134725757</v>
      </c>
      <c r="AJ6" s="34">
        <f>(AI6*ตัวคูณ!$B$2)+AI6</f>
        <v>16967.857726073016</v>
      </c>
      <c r="AK6" s="34">
        <f>(AJ6*ตัวคูณ!$B$2)+AJ6</f>
        <v>17137.536303333745</v>
      </c>
      <c r="AL6" s="34">
        <f>(AK6*ตัวคูณ!$B$2)+AK6</f>
        <v>17308.911666367083</v>
      </c>
      <c r="AM6" s="34">
        <f>(AL6*ตัวคูณ!$B$2)+AL6</f>
        <v>17482.000783030755</v>
      </c>
      <c r="AN6" s="34">
        <f>(AM6*ตัวคูณ!$B$2)+AM6</f>
        <v>17656.820790861064</v>
      </c>
    </row>
    <row r="7" spans="1:40" ht="13.2" customHeight="1">
      <c r="A7" s="10" t="s">
        <v>104</v>
      </c>
      <c r="B7" s="10" t="s">
        <v>101</v>
      </c>
      <c r="C7" s="34">
        <v>11866.15</v>
      </c>
      <c r="D7" s="34">
        <f t="shared" si="0"/>
        <v>12340.796</v>
      </c>
      <c r="E7" s="34">
        <f>(D7*ตัวคูณ!$B$2)+D7</f>
        <v>12464.203960000001</v>
      </c>
      <c r="F7" s="34">
        <f>(E7*ตัวคูณ!$B$2)+E7</f>
        <v>12588.8459996</v>
      </c>
      <c r="G7" s="34">
        <f>(F7*ตัวคูณ!$B$2)+F7</f>
        <v>12714.734459596</v>
      </c>
      <c r="H7" s="34">
        <f>(G7*ตัวคูณ!$B$2)+G7</f>
        <v>12841.88180419196</v>
      </c>
      <c r="I7" s="34">
        <f>(H7*ตัวคูณ!$B$2)+H7</f>
        <v>12970.300622233879</v>
      </c>
      <c r="J7" s="37">
        <v>13100</v>
      </c>
      <c r="K7" s="37">
        <f>(J7*ตัวคูณ!$B$2)+J7</f>
        <v>13231</v>
      </c>
      <c r="L7" s="34">
        <f>(K7*ตัวคูณ!$B$2)+K7</f>
        <v>13363.31</v>
      </c>
      <c r="M7" s="34">
        <f>(L7*ตัวคูณ!$B$2)+L7</f>
        <v>13496.943099999999</v>
      </c>
      <c r="N7" s="34">
        <f>(M7*ตัวคูณ!$B$2)+M7</f>
        <v>13631.912530999998</v>
      </c>
      <c r="O7" s="34">
        <f>(N7*ตัวคูณ!$B$2)+N7</f>
        <v>13768.231656309998</v>
      </c>
      <c r="P7" s="34">
        <f>(O7*ตัวคูณ!$B$2)+O7</f>
        <v>13905.913972873097</v>
      </c>
      <c r="Q7" s="34">
        <f>(P7*ตัวคูณ!$B$2)+P7</f>
        <v>14044.973112601829</v>
      </c>
      <c r="R7" s="34">
        <f>(Q7*ตัวคูณ!$B$2)+Q7</f>
        <v>14185.422843727847</v>
      </c>
      <c r="S7" s="34">
        <f>(R7*ตัวคูณ!$B$2)+R7</f>
        <v>14327.277072165125</v>
      </c>
      <c r="T7" s="34">
        <f>(S7*ตัวคูณ!$B$2)+S7</f>
        <v>14470.549842886776</v>
      </c>
      <c r="U7" s="34">
        <f>(T7*ตัวคูณ!$B$2)+T7</f>
        <v>14615.255341315644</v>
      </c>
      <c r="V7" s="34">
        <f>(U7*ตัวคูณ!$B$2)+U7</f>
        <v>14761.4078947288</v>
      </c>
      <c r="W7" s="34">
        <f>(V7*ตัวคูณ!$B$2)+V7</f>
        <v>14909.021973676088</v>
      </c>
      <c r="X7" s="34">
        <f>(W7*ตัวคูณ!$B$2)+W7</f>
        <v>15058.11219341285</v>
      </c>
      <c r="Y7" s="34">
        <f>(X7*ตัวคูณ!$B$2)+X7</f>
        <v>15208.693315346978</v>
      </c>
      <c r="Z7" s="34">
        <f>(Y7*ตัวคูณ!$B$2)+Y7</f>
        <v>15360.780248500449</v>
      </c>
      <c r="AA7" s="34">
        <f>(Z7*ตัวคูณ!$B$2)+Z7</f>
        <v>15514.388050985453</v>
      </c>
      <c r="AB7" s="34">
        <f>(AA7*ตัวคูณ!$B$2)+AA7</f>
        <v>15669.531931495309</v>
      </c>
      <c r="AC7" s="34">
        <f>(AB7*ตัวคูณ!$B$2)+AB7</f>
        <v>15826.227250810261</v>
      </c>
      <c r="AD7" s="34">
        <f>(AC7*ตัวคูณ!$B$2)+AC7</f>
        <v>15984.489523318363</v>
      </c>
      <c r="AE7" s="34">
        <f>(AD7*ตัวคูณ!$B$2)+AD7</f>
        <v>16144.334418551547</v>
      </c>
      <c r="AF7" s="34">
        <f>(AE7*ตัวคูณ!$B$2)+AE7</f>
        <v>16305.777762737063</v>
      </c>
      <c r="AG7" s="34">
        <f>(AF7*ตัวคูณ!$B$2)+AF7</f>
        <v>16468.835540364435</v>
      </c>
      <c r="AH7" s="34">
        <f>(AG7*ตัวคูณ!$B$2)+AG7</f>
        <v>16633.523895768078</v>
      </c>
      <c r="AI7" s="34">
        <f>(AH7*ตัวคูณ!$B$2)+AH7</f>
        <v>16799.859134725757</v>
      </c>
      <c r="AJ7" s="34">
        <f>(AI7*ตัวคูณ!$B$2)+AI7</f>
        <v>16967.857726073016</v>
      </c>
      <c r="AK7" s="34">
        <f>(AJ7*ตัวคูณ!$B$2)+AJ7</f>
        <v>17137.536303333745</v>
      </c>
      <c r="AL7" s="34">
        <f>(AK7*ตัวคูณ!$B$2)+AK7</f>
        <v>17308.911666367083</v>
      </c>
      <c r="AM7" s="34">
        <f>(AL7*ตัวคูณ!$B$2)+AL7</f>
        <v>17482.000783030755</v>
      </c>
      <c r="AN7" s="34">
        <f>(AM7*ตัวคูณ!$B$2)+AM7</f>
        <v>17656.820790861064</v>
      </c>
    </row>
    <row r="8" spans="1:40" ht="13.2" customHeight="1">
      <c r="A8" s="14" t="s">
        <v>105</v>
      </c>
      <c r="B8" s="10" t="s">
        <v>106</v>
      </c>
      <c r="C8" s="34">
        <v>28080.19</v>
      </c>
      <c r="D8" s="34">
        <f t="shared" si="0"/>
        <v>29203.3976</v>
      </c>
      <c r="E8" s="34">
        <f>(D8*ตัวคูณ!$B$2)+D8</f>
        <v>29495.431575999999</v>
      </c>
      <c r="F8" s="34">
        <f>(E8*ตัวคูณ!$B$2)+E8</f>
        <v>29790.385891759997</v>
      </c>
      <c r="G8" s="34">
        <f>(F8*ตัวคูณ!$B$2)+F8</f>
        <v>30088.289750677599</v>
      </c>
      <c r="H8" s="34">
        <f>(G8*ตัวคูณ!$B$2)+G8</f>
        <v>30389.172648184376</v>
      </c>
      <c r="I8" s="34">
        <f>(H8*ตัวคูณ!$B$2)+H8</f>
        <v>30693.064374666221</v>
      </c>
      <c r="J8" s="37">
        <v>31000</v>
      </c>
      <c r="K8" s="37">
        <f>(J8*ตัวคูณ!$B$2)+J8</f>
        <v>31310</v>
      </c>
      <c r="L8" s="34">
        <f>(K8*ตัวคูณ!$B$2)+K8</f>
        <v>31623.1</v>
      </c>
      <c r="M8" s="34">
        <f>(L8*ตัวคูณ!$B$2)+L8</f>
        <v>31939.330999999998</v>
      </c>
      <c r="N8" s="34">
        <f>(M8*ตัวคูณ!$B$2)+M8</f>
        <v>32258.724309999998</v>
      </c>
      <c r="O8" s="34">
        <f>(N8*ตัวคูณ!$B$2)+N8</f>
        <v>32581.311553099997</v>
      </c>
      <c r="P8" s="34">
        <f>(O8*ตัวคูณ!$B$2)+O8</f>
        <v>32907.124668630997</v>
      </c>
      <c r="Q8" s="34">
        <f>(P8*ตัวคูณ!$B$2)+P8</f>
        <v>33236.195915317308</v>
      </c>
      <c r="R8" s="34">
        <f>(Q8*ตัวคูณ!$B$2)+Q8</f>
        <v>33568.557874470484</v>
      </c>
      <c r="S8" s="34">
        <f>(R8*ตัวคูณ!$B$2)+R8</f>
        <v>33904.243453215189</v>
      </c>
      <c r="T8" s="34">
        <f>(S8*ตัวคูณ!$B$2)+S8</f>
        <v>34243.285887747341</v>
      </c>
      <c r="U8" s="34">
        <f>(T8*ตัวคูณ!$B$2)+T8</f>
        <v>34585.718746624814</v>
      </c>
      <c r="V8" s="34">
        <f>(U8*ตัวคูณ!$B$2)+U8</f>
        <v>34931.575934091059</v>
      </c>
      <c r="W8" s="34">
        <f>(V8*ตัวคูณ!$B$2)+V8</f>
        <v>35280.891693431971</v>
      </c>
      <c r="X8" s="34">
        <f>(W8*ตัวคูณ!$B$2)+W8</f>
        <v>35633.700610366293</v>
      </c>
      <c r="Y8" s="34">
        <f>(X8*ตัวคูณ!$B$2)+X8</f>
        <v>35990.037616469956</v>
      </c>
      <c r="Z8" s="34">
        <f>(Y8*ตัวคูณ!$B$2)+Y8</f>
        <v>36349.937992634652</v>
      </c>
      <c r="AA8" s="34">
        <f>(Z8*ตัวคูณ!$B$2)+Z8</f>
        <v>36713.437372560998</v>
      </c>
      <c r="AB8" s="34">
        <f>(AA8*ตัวคูณ!$B$2)+AA8</f>
        <v>37080.571746286609</v>
      </c>
      <c r="AC8" s="34">
        <f>(AB8*ตัวคูณ!$B$2)+AB8</f>
        <v>37451.377463749472</v>
      </c>
      <c r="AD8" s="34">
        <f>(AC8*ตัวคูณ!$B$2)+AC8</f>
        <v>37825.891238386968</v>
      </c>
      <c r="AE8" s="34">
        <f>(AD8*ตัวคูณ!$B$2)+AD8</f>
        <v>38204.150150770838</v>
      </c>
      <c r="AF8" s="34">
        <f>(AE8*ตัวคูณ!$B$2)+AE8</f>
        <v>38586.191652278547</v>
      </c>
      <c r="AG8" s="34">
        <f>(AF8*ตัวคูณ!$B$2)+AF8</f>
        <v>38972.053568801333</v>
      </c>
      <c r="AH8" s="34">
        <f>(AG8*ตัวคูณ!$B$2)+AG8</f>
        <v>39361.774104489348</v>
      </c>
      <c r="AI8" s="34">
        <f>(AH8*ตัวคูณ!$B$2)+AH8</f>
        <v>39755.391845534243</v>
      </c>
      <c r="AJ8" s="34">
        <f>(AI8*ตัวคูณ!$B$2)+AI8</f>
        <v>40152.945763989585</v>
      </c>
      <c r="AK8" s="34">
        <f>(AJ8*ตัวคูณ!$B$2)+AJ8</f>
        <v>40554.47522162948</v>
      </c>
      <c r="AL8" s="34">
        <f>(AK8*ตัวคูณ!$B$2)+AK8</f>
        <v>40960.019973845774</v>
      </c>
      <c r="AM8" s="34">
        <f>(AL8*ตัวคูณ!$B$2)+AL8</f>
        <v>41369.620173584233</v>
      </c>
      <c r="AN8" s="34">
        <f>(AM8*ตัวคูณ!$B$2)+AM8</f>
        <v>41783.316375320079</v>
      </c>
    </row>
    <row r="9" spans="1:40" ht="13.2" customHeight="1">
      <c r="A9" s="14" t="s">
        <v>102</v>
      </c>
      <c r="B9" s="10" t="s">
        <v>106</v>
      </c>
      <c r="C9" s="34">
        <v>28080.19</v>
      </c>
      <c r="D9" s="34">
        <f t="shared" si="0"/>
        <v>29203.3976</v>
      </c>
      <c r="E9" s="34">
        <f>(D9*ตัวคูณ!$B$2)+D9</f>
        <v>29495.431575999999</v>
      </c>
      <c r="F9" s="34">
        <f>(E9*ตัวคูณ!$B$2)+E9</f>
        <v>29790.385891759997</v>
      </c>
      <c r="G9" s="34">
        <f>(F9*ตัวคูณ!$B$2)+F9</f>
        <v>30088.289750677599</v>
      </c>
      <c r="H9" s="34">
        <f>(G9*ตัวคูณ!$B$2)+G9</f>
        <v>30389.172648184376</v>
      </c>
      <c r="I9" s="34">
        <f>(H9*ตัวคูณ!$B$2)+H9</f>
        <v>30693.064374666221</v>
      </c>
      <c r="J9" s="37">
        <v>31000</v>
      </c>
      <c r="K9" s="37">
        <f>(J9*ตัวคูณ!$B$2)+J9</f>
        <v>31310</v>
      </c>
      <c r="L9" s="34">
        <f>(K9*ตัวคูณ!$B$2)+K9</f>
        <v>31623.1</v>
      </c>
      <c r="M9" s="34">
        <f>(L9*ตัวคูณ!$B$2)+L9</f>
        <v>31939.330999999998</v>
      </c>
      <c r="N9" s="34">
        <f>(M9*ตัวคูณ!$B$2)+M9</f>
        <v>32258.724309999998</v>
      </c>
      <c r="O9" s="34">
        <f>(N9*ตัวคูณ!$B$2)+N9</f>
        <v>32581.311553099997</v>
      </c>
      <c r="P9" s="34">
        <f>(O9*ตัวคูณ!$B$2)+O9</f>
        <v>32907.124668630997</v>
      </c>
      <c r="Q9" s="34">
        <f>(P9*ตัวคูณ!$B$2)+P9</f>
        <v>33236.195915317308</v>
      </c>
      <c r="R9" s="34">
        <f>(Q9*ตัวคูณ!$B$2)+Q9</f>
        <v>33568.557874470484</v>
      </c>
      <c r="S9" s="34">
        <f>(R9*ตัวคูณ!$B$2)+R9</f>
        <v>33904.243453215189</v>
      </c>
      <c r="T9" s="34">
        <f>(S9*ตัวคูณ!$B$2)+S9</f>
        <v>34243.285887747341</v>
      </c>
      <c r="U9" s="34">
        <f>(T9*ตัวคูณ!$B$2)+T9</f>
        <v>34585.718746624814</v>
      </c>
      <c r="V9" s="34">
        <f>(U9*ตัวคูณ!$B$2)+U9</f>
        <v>34931.575934091059</v>
      </c>
      <c r="W9" s="34">
        <f>(V9*ตัวคูณ!$B$2)+V9</f>
        <v>35280.891693431971</v>
      </c>
      <c r="X9" s="34">
        <f>(W9*ตัวคูณ!$B$2)+W9</f>
        <v>35633.700610366293</v>
      </c>
      <c r="Y9" s="34">
        <f>(X9*ตัวคูณ!$B$2)+X9</f>
        <v>35990.037616469956</v>
      </c>
      <c r="Z9" s="34">
        <f>(Y9*ตัวคูณ!$B$2)+Y9</f>
        <v>36349.937992634652</v>
      </c>
      <c r="AA9" s="34">
        <f>(Z9*ตัวคูณ!$B$2)+Z9</f>
        <v>36713.437372560998</v>
      </c>
      <c r="AB9" s="34">
        <f>(AA9*ตัวคูณ!$B$2)+AA9</f>
        <v>37080.571746286609</v>
      </c>
      <c r="AC9" s="34">
        <f>(AB9*ตัวคูณ!$B$2)+AB9</f>
        <v>37451.377463749472</v>
      </c>
      <c r="AD9" s="34">
        <f>(AC9*ตัวคูณ!$B$2)+AC9</f>
        <v>37825.891238386968</v>
      </c>
      <c r="AE9" s="34">
        <f>(AD9*ตัวคูณ!$B$2)+AD9</f>
        <v>38204.150150770838</v>
      </c>
      <c r="AF9" s="34">
        <f>(AE9*ตัวคูณ!$B$2)+AE9</f>
        <v>38586.191652278547</v>
      </c>
      <c r="AG9" s="34">
        <f>(AF9*ตัวคูณ!$B$2)+AF9</f>
        <v>38972.053568801333</v>
      </c>
      <c r="AH9" s="34">
        <f>(AG9*ตัวคูณ!$B$2)+AG9</f>
        <v>39361.774104489348</v>
      </c>
      <c r="AI9" s="34">
        <f>(AH9*ตัวคูณ!$B$2)+AH9</f>
        <v>39755.391845534243</v>
      </c>
      <c r="AJ9" s="34">
        <f>(AI9*ตัวคูณ!$B$2)+AI9</f>
        <v>40152.945763989585</v>
      </c>
      <c r="AK9" s="34">
        <f>(AJ9*ตัวคูณ!$B$2)+AJ9</f>
        <v>40554.47522162948</v>
      </c>
      <c r="AL9" s="34">
        <f>(AK9*ตัวคูณ!$B$2)+AK9</f>
        <v>40960.019973845774</v>
      </c>
      <c r="AM9" s="34">
        <f>(AL9*ตัวคูณ!$B$2)+AL9</f>
        <v>41369.620173584233</v>
      </c>
      <c r="AN9" s="34">
        <f>(AM9*ตัวคูณ!$B$2)+AM9</f>
        <v>41783.316375320079</v>
      </c>
    </row>
    <row r="10" spans="1:40" ht="13.2" customHeight="1">
      <c r="A10" s="14"/>
      <c r="B10" s="14"/>
      <c r="C10" s="34"/>
      <c r="D10" s="34"/>
      <c r="E10" s="34"/>
      <c r="F10" s="34"/>
      <c r="G10" s="34"/>
      <c r="H10" s="34"/>
      <c r="I10" s="34"/>
      <c r="J10" s="34"/>
      <c r="K10" s="37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</row>
    <row r="11" spans="1:40" ht="13.2" customHeight="1">
      <c r="A11" s="14"/>
      <c r="B11" s="14"/>
      <c r="C11" s="34"/>
      <c r="D11" s="34"/>
      <c r="E11" s="34"/>
      <c r="F11" s="34"/>
      <c r="G11" s="34"/>
      <c r="H11" s="34"/>
      <c r="I11" s="34"/>
      <c r="J11" s="34"/>
      <c r="K11" s="37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spans="1:40" ht="13.2" customHeight="1">
      <c r="A12" s="14"/>
      <c r="B12" s="14"/>
      <c r="C12" s="34"/>
      <c r="D12" s="34"/>
      <c r="E12" s="34"/>
      <c r="F12" s="34"/>
      <c r="G12" s="34"/>
      <c r="H12" s="34"/>
      <c r="I12" s="34"/>
      <c r="J12" s="34"/>
      <c r="K12" s="37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ht="13.2" customHeight="1">
      <c r="A13" s="14"/>
      <c r="B13" s="14"/>
      <c r="C13" s="34"/>
      <c r="D13" s="34"/>
      <c r="E13" s="34"/>
      <c r="F13" s="34"/>
      <c r="G13" s="34"/>
      <c r="H13" s="34"/>
      <c r="I13" s="34"/>
      <c r="J13" s="34"/>
      <c r="K13" s="37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 ht="13.2" customHeight="1">
      <c r="A14" s="14"/>
      <c r="B14" s="14"/>
      <c r="C14" s="34"/>
      <c r="D14" s="34"/>
      <c r="E14" s="34"/>
      <c r="F14" s="34"/>
      <c r="G14" s="34"/>
      <c r="H14" s="34"/>
      <c r="I14" s="34"/>
      <c r="J14" s="34"/>
      <c r="K14" s="37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ht="13.2" customHeight="1">
      <c r="A15" s="14"/>
      <c r="B15" s="14"/>
      <c r="C15" s="34"/>
      <c r="D15" s="34"/>
      <c r="E15" s="34"/>
      <c r="F15" s="34"/>
      <c r="G15" s="34"/>
      <c r="H15" s="34"/>
      <c r="I15" s="34"/>
      <c r="J15" s="34"/>
      <c r="K15" s="37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 ht="13.2" customHeight="1">
      <c r="A16" s="14"/>
      <c r="B16" s="14"/>
      <c r="C16" s="34"/>
      <c r="D16" s="34"/>
      <c r="E16" s="34"/>
      <c r="F16" s="34"/>
      <c r="G16" s="34"/>
      <c r="H16" s="34"/>
      <c r="I16" s="34"/>
      <c r="J16" s="34"/>
      <c r="K16" s="37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ht="13.2" customHeight="1">
      <c r="A17" s="14"/>
      <c r="B17" s="14"/>
      <c r="C17" s="34"/>
      <c r="D17" s="34"/>
      <c r="E17" s="34"/>
      <c r="F17" s="34"/>
      <c r="G17" s="34"/>
      <c r="H17" s="34"/>
      <c r="I17" s="34"/>
      <c r="J17" s="34"/>
      <c r="K17" s="37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 ht="13.2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3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0" ht="13.2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35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  <row r="20" spans="1:40" ht="13.2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3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0" ht="13.2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35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</row>
    <row r="22" spans="1:40" ht="13.2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3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0" ht="13.2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35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0" ht="13.2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3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0" ht="13.2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35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 ht="13.2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3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ht="13.2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35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ht="13.2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35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0" ht="13.2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35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spans="1:40" ht="13.2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35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0" ht="13.2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35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0" ht="13.2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35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0" ht="13.2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35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3.2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35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3.2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35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13.2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35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0" ht="13.2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35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0" ht="13.2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35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0" ht="13.2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35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</row>
    <row r="40" spans="1:40" ht="13.2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35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0" ht="13.2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35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0" ht="13.2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3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3.2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35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0" ht="13.2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35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0" ht="13.2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35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0" ht="13.2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35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40" ht="13.2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35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ht="13.2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35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0" ht="13.2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35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3.2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35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3.2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35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3.2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35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3.2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35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3.2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35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ht="13.2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35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ht="13.2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35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ht="13.2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35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0" ht="13.2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35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0" ht="13.2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35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spans="1:40" ht="13.2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35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ht="13.2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35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3.2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35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3.2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35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3.2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35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3.2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35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3.2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35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3.2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35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3.2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35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3.2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35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3.2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35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3.2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35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ht="13.2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35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 ht="13.2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35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0" ht="13.2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3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ht="13.2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35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ht="13.2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35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spans="1:40" ht="13.2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35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ht="13.2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35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ht="13.2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35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spans="1:40" ht="13.2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35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0" ht="13.2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35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ht="13.2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35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ht="13.2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35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0" ht="13.2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35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0" ht="13.2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35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ht="13.2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35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ht="13.2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35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0" ht="13.2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35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0" ht="13.2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35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spans="1:40" ht="13.2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35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ht="13.2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35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0" ht="13.2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35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0" ht="13.2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35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0" ht="13.2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35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0" ht="13.2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35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3.2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35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0" ht="13.2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35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3.2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35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3.2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35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spans="1:40" ht="13.2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35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0" ht="13.2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35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3.2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35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3.2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35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3.2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35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3.2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35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3.2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35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3.2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35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3.2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35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3.2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35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3.2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35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3.2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35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3.2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35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3.2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35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3.2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35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3.2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35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3.2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35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3.2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35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3.2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35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3.2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35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3.2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35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3.2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35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3.2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35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3.2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35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3.2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35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3.2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35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3.2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35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3.2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35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3.2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35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3.2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35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3.2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35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3.2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35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3.2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35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3.2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35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3.2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35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3.2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35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3.2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35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3.2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35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3.2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35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3.2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35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3.2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35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3.2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35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3.2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35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3.2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35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3.2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35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3.2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35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3.2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35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3.2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35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3.2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35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3.2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35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3.2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35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3.2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35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3.2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35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3.2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35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3.2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35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3.2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35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3.2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35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3.2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35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3.2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35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3.2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35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3.2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35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3.2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35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3.2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35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3.2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35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3.2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35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3.2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35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3.2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35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 spans="1:40" ht="13.2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35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0" ht="13.2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35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0" ht="13.2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35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 spans="1:40" ht="13.2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35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3.2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35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3.2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35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3.2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35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3.2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35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3.2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35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3.2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35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3.2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35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3.2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35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3.2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35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3.2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35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3.2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35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3.2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35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13.2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35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3.2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35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3.2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35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3.2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35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3.2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35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3.2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35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3.2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35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3.2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35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3.2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35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3.2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35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3.2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35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3.2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35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3.2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35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3.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35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3.2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35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3.2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35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3.2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35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3.2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35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3.2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35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3.2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35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3.2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35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3.2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35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3.2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35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3.2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35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3.2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35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3.2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35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3.2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35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3.2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35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3.2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35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3.2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35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3.2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35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3.2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35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3.2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35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3.2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35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3.2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35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3.2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35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3.2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35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3.2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35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3.2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35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3.2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35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3.2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35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3.2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35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3.2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35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3.2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35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3.2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35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3.2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35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3.2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35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3.2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35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3.2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35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3.2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35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3.2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35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3.2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35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13.2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35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 spans="1:40" ht="13.2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35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 spans="1:40" ht="13.2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35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 spans="1:40" ht="13.2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35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3.2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35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3.2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35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3.2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35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3.2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35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3.2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35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3.2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35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3.2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35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3.2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35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3.2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35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3.2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35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3.2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35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13.2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35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3.2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35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3.2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35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3.2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35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3.2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35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3.2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35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3.2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35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3.2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35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3.2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35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3.2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35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3.2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35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3.2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35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3.2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35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3.2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35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3.2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35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3.2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35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3.2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35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3.2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35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3.2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35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3.2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35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3.2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35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3.2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35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3.2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35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3.2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35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3.2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35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3.2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35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3.2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35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3.2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35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3.2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35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3.2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35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3.2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35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3.2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35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3.2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35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3.2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35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3.2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35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3.2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35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3.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35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3.2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35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3.2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35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3.2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35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13.2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35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3.2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35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3.2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35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3.2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35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3.2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35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3.2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35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3.2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35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3.2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35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3.2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35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3.2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35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3.2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35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3.2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35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3.2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35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3.2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35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3.2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35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3.2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35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3.2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35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3.2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35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3.2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35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3.2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35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3.2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35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3.2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35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3.2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35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3.2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35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3.2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35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3.2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35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3.2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35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3.2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35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3.2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35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3.2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35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3.2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35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3.2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35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3.2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35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3.2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35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3.2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35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3.2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35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3.2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35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3.2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35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3.2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35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3.2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35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3.2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35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3.2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35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3.2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35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3.2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35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3.2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35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3.2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35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3.2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35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3.2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35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3.2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35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3.2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35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3.2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35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3.2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35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3.2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35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3.2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35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3.2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35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3.2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35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3.2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35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3.2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35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3.2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35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3.2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35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3.2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35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3.2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35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3.2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35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3.2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35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3.2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35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13.2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35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 spans="1:40" ht="13.2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35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 spans="1:40" ht="13.2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35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 spans="1:40" ht="13.2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35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 spans="1:40" ht="13.2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35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 spans="1:40" ht="13.2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35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 spans="1:40" ht="13.2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35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 spans="1:40" ht="13.2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35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 spans="1:40" ht="13.2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35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 spans="1:40" ht="13.2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35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 spans="1:40" ht="13.2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35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 spans="1:40" ht="13.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35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 spans="1:40" ht="13.2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35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 spans="1:40" ht="13.2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35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 spans="1:40" ht="13.2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35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1:40" ht="13.2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35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1:40" ht="13.2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35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1:40" ht="13.2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35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1:40" ht="13.2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35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1:40" ht="13.2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35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1:40" ht="13.2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35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1:40" ht="13.2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35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1:40" ht="13.2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35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1:40" ht="13.2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35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1:40" ht="13.2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35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1:40" ht="13.2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35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1:40" ht="13.2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35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1:40" ht="13.2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35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1:40" ht="13.2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35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1:40" ht="13.2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35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1:40" ht="13.2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35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1:40" ht="13.2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35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1:40" ht="13.2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35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1:40" ht="13.2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35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1:40" ht="13.2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35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1:40" ht="13.2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35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1:40" ht="13.2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35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1:40" ht="13.2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35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1:40" ht="13.2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35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1:40" ht="13.2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35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1:40" ht="13.2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35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1:40" ht="13.2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35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1:40" ht="13.2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35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1:40" ht="13.2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35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1:40" ht="13.2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35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3.2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35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1:40" ht="13.2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35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1:40" ht="13.2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35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1:40" ht="13.2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35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1:40" ht="13.2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35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1:40" ht="13.2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35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1:40" ht="13.2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35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1:40" ht="13.2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35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1:40" ht="13.2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35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1:40" ht="13.2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35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1:40" ht="13.2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35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1:40" ht="13.2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35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1:40" ht="13.2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35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1:40" ht="13.2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35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1:40" ht="13.2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35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1:40" ht="13.2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35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1:40" ht="13.2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35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1:40" ht="13.2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35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1:40" ht="13.2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35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1:40" ht="13.2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35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1:40" ht="13.2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35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1:40" ht="13.2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35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1:40" ht="13.2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35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1:40" ht="13.2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35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1:40" ht="13.2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35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1:40" ht="13.2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35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1:40" ht="13.2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35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1:40" ht="13.2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35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1:40" ht="13.2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35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1:40" ht="13.2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35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1:40" ht="13.2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35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1:40" ht="13.2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35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1:40" ht="13.2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35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1:40" ht="13.2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35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1:40" ht="13.2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35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1:40" ht="13.2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35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1:40" ht="13.2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35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1:40" ht="13.2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35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1:40" ht="13.2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35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1:40" ht="13.2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35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1:40" ht="13.2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35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1:40" ht="13.2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35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1:40" ht="13.2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35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1:40" ht="13.2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35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1:40" ht="13.2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35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1:40" ht="13.2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35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1:40" ht="13.2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35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1:40" ht="13.2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35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1:40" ht="13.2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35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1:40" ht="13.2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35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1:40" ht="13.2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35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1:40" ht="13.2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35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1:40" ht="13.2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35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1:40" ht="13.2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35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1:40" ht="13.2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35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1:40" ht="13.2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35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1:40" ht="13.2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35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1:40" ht="13.2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35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1:40" ht="13.2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35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1:40" ht="13.2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35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1:40" ht="13.2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35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1:40" ht="13.2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35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1:40" ht="13.2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35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1:40" ht="13.2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35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1:40" ht="13.2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35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1:40" ht="13.2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35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1:40" ht="13.2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35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1:40" ht="13.2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35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1:40" ht="13.2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35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1:40" ht="13.2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35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1:40" ht="13.2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35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1:40" ht="13.2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35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1:40" ht="13.2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35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1:40" ht="13.2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35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1:40" ht="13.2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35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1:40" ht="13.2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35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1:40" ht="13.2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35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1:40" ht="13.2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35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1:40" ht="13.2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35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1:40" ht="13.2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35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1:40" ht="13.2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35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1:40" ht="13.2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35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1:40" ht="13.2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35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1:40" ht="13.2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35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1:40" ht="13.2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35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1:40" ht="13.2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35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1:40" ht="13.2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35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1:40" ht="13.2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35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1:40" ht="13.2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35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1:40" ht="13.2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35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1:40" ht="13.2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35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1:40" ht="13.2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35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1:40" ht="13.2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35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1:40" ht="13.2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35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1:40" ht="13.2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35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1:40" ht="13.2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35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1:40" ht="13.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35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1:40" ht="13.2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35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1:40" ht="13.2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35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1:40" ht="13.2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35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1:40" ht="13.2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35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1:40" ht="13.2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35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1:40" ht="13.2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35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1:40" ht="13.2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35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1:40" ht="13.2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35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1:40" ht="13.2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35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1:40" ht="13.2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35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1:40" ht="13.2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35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1:40" ht="13.2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35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1:40" ht="13.2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35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1:40" ht="13.2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35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1:40" ht="13.2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35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1:40" ht="13.2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35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1:40" ht="13.2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35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1:40" ht="13.2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35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1:40" ht="13.2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35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1:40" ht="13.2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35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1:40" ht="13.2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35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1:40" ht="13.2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35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1:40" ht="13.2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35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1:40" ht="13.2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35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1:40" ht="13.2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35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1:40" ht="13.2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35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1:40" ht="13.2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35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1:40" ht="13.2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35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1:40" ht="13.2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35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1:40" ht="13.2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35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1:40" ht="13.2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35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1:40" ht="13.2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35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1:40" ht="13.2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35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1:40" ht="13.2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35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1:40" ht="13.2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35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1:40" ht="13.2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35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1:40" ht="13.2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35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1:40" ht="13.2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35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1:40" ht="13.2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35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1:40" ht="13.2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35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1:40" ht="13.2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35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1:40" ht="13.2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35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1:40" ht="13.2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35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1:40" ht="13.2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35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1:40" ht="13.2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35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1:40" ht="13.2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35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1:40" ht="13.2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35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1:40" ht="13.2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35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1:40" ht="13.2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35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1:40" ht="13.2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35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1:40" ht="13.2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35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1:40" ht="13.2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35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1:40" ht="13.2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35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1:40" ht="13.2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35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1:40" ht="13.2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35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1:40" ht="13.2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35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1:40" ht="13.2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35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1:40" ht="13.2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35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1:40" ht="13.2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35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1:40" ht="13.2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35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1:40" ht="13.2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35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1:40" ht="13.2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35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1:40" ht="13.2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35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1:40" ht="13.2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35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1:40" ht="13.2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35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1:40" ht="13.2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35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1:40" ht="13.2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35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1:40" ht="13.2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35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1:40" ht="13.2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35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1:40" ht="13.2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35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1:40" ht="13.2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35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1:40" ht="13.2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35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1:40" ht="13.2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35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1:40" ht="13.2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35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1:40" ht="13.2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35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1:40" ht="13.2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35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1:40" ht="13.2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35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1:40" ht="13.2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35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1:40" ht="13.2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35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1:40" ht="13.2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35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1:40" ht="13.2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35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1:40" ht="13.2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35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1:40" ht="13.2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35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1:40" ht="13.2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35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1:40" ht="13.2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35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1:40" ht="13.2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35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1:40" ht="13.2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35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1:40" ht="13.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35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1:40" ht="13.2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35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1:40" ht="13.2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35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1:40" ht="13.2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35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1:40" ht="13.2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35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1:40" ht="13.2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35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1:40" ht="13.2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35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1:40" ht="13.2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35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1:40" ht="13.2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35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1:40" ht="13.2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35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1:40" ht="13.2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35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1:40" ht="13.2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35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1:40" ht="13.2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35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1:40" ht="13.2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35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1:40" ht="13.2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35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1:40" ht="13.2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35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1:40" ht="13.2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35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1:40" ht="13.2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35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1:40" ht="13.2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35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1:40" ht="13.2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35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1:40" ht="13.2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35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1:40" ht="13.2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35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1:40" ht="13.2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35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1:40" ht="13.2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35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1:40" ht="13.2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35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1:40" ht="13.2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35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1:40" ht="13.2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35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1:40" ht="13.2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35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1:40" ht="13.2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35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1:40" ht="13.2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35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1:40" ht="13.2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35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1:40" ht="13.2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35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1:40" ht="13.2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35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1:40" ht="13.2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35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1:40" ht="13.2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35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1:40" ht="13.2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35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1:40" ht="13.2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35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1:40" ht="13.2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35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1:40" ht="13.2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35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1:40" ht="13.2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35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1:40" ht="13.2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35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1:40" ht="13.2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35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1:40" ht="13.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35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1:40" ht="13.2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35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1:40" ht="13.2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35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1:40" ht="13.2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35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1:40" ht="13.2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35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1:40" ht="13.2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35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1:40" ht="13.2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35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1:40" ht="13.2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35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1:40" ht="13.2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35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1:40" ht="13.2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35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1:40" ht="13.2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35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1:40" ht="13.2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35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1:40" ht="13.2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35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1:40" ht="13.2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35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1:40" ht="13.2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35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1:40" ht="13.2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35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1:40" ht="13.2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35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1:40" ht="13.2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35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1:40" ht="13.2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35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1:40" ht="13.2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35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1:40" ht="13.2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35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1:40" ht="13.2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35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1:40" ht="13.2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35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1:40" ht="13.2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35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1:40" ht="13.2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35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1:40" ht="13.2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35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1:40" ht="13.2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35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1:40" ht="13.2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35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1:40" ht="13.2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35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1:40" ht="13.2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35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1:40" ht="13.2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35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1:40" ht="13.2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35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1:40" ht="13.2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35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1:40" ht="13.2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35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1:40" ht="13.2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35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1:40" ht="13.2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35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1:40" ht="13.2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35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1:40" ht="13.2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35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1:40" ht="13.2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35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1:40" ht="13.2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35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1:40" ht="13.2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35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1:40" ht="13.2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35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1:40" ht="13.2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35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1:40" ht="13.2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35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1:40" ht="13.2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35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 spans="1:40" ht="13.2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35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 spans="1:40" ht="13.2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35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 spans="1:40" ht="13.2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35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 spans="1:40" ht="13.2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35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 spans="1:40" ht="13.2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35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 spans="1:40" ht="13.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35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 spans="1:40" ht="13.2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35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 spans="1:40" ht="13.2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35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 spans="1:40" ht="13.2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35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 spans="1:40" ht="13.2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35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 spans="1:40" ht="13.2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35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 spans="1:40" ht="13.2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35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 spans="1:40" ht="13.2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35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 spans="1:40" ht="13.2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35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 spans="1:40" ht="13.2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35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 spans="1:40" ht="13.2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35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 spans="1:40" ht="13.2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35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 spans="1:40" ht="13.2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35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 spans="1:40" ht="13.2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35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 spans="1:40" ht="13.2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35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 spans="1:40" ht="13.2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35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 spans="1:40" ht="13.2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35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 spans="1:40" ht="13.2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35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 spans="1:40" ht="13.2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35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 spans="1:40" ht="13.2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35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 spans="1:40" ht="13.2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35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 spans="1:40" ht="13.2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35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 spans="1:40" ht="13.2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35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 spans="1:40" ht="13.2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35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 spans="1:40" ht="13.2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35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 spans="1:40" ht="13.2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35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 spans="1:40" ht="13.2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35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 spans="1:40" ht="13.2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35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 spans="1:40" ht="13.2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35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 spans="1:40" ht="13.2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35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 spans="1:40" ht="13.2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35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 spans="1:40" ht="13.2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35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 spans="1:40" ht="13.2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35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 spans="1:40" ht="13.2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35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 spans="1:40" ht="13.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35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 spans="1:40" ht="13.2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35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 spans="1:40" ht="13.2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35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 spans="1:40" ht="13.2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35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 spans="1:40" ht="13.2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35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 spans="1:40" ht="13.2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35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 spans="1:40" ht="13.2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35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 spans="1:40" ht="13.2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35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 spans="1:40" ht="13.2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35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 spans="1:40" ht="13.2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35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 spans="1:40" ht="13.2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35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 spans="1:40" ht="13.2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35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 spans="1:40" ht="13.2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35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 spans="1:40" ht="13.2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35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 spans="1:40" ht="13.2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35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 spans="1:40" ht="13.2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35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 spans="1:40" ht="13.2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35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 spans="1:40" ht="13.2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35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 spans="1:40" ht="13.2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35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 spans="1:40" ht="13.2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35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 spans="1:40" ht="13.2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35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 spans="1:40" ht="13.2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35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 spans="1:40" ht="13.2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35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 spans="1:40" ht="13.2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35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 spans="1:40" ht="13.2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35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 spans="1:40" ht="13.2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35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 spans="1:40" ht="13.2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35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 spans="1:40" ht="13.2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35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 spans="1:40" ht="13.2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35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 spans="1:40" ht="13.2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35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 spans="1:40" ht="13.2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35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 spans="1:40" ht="13.2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35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 spans="1:40" ht="13.2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35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 spans="1:40" ht="13.2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35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 spans="1:40" ht="13.2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35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 spans="1:40" ht="13.2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35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 spans="1:40" ht="13.2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35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 spans="1:40" ht="13.2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35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 spans="1:40" ht="13.2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35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 spans="1:40" ht="13.2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35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 spans="1:40" ht="13.2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35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 spans="1:40" ht="13.2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35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 spans="1:40" ht="13.2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35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 spans="1:40" ht="13.2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35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 spans="1:40" ht="13.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35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 spans="1:40" ht="13.2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35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 spans="1:40" ht="13.2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35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 spans="1:40" ht="13.2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35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 spans="1:40" ht="13.2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35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 spans="1:40" ht="13.2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35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 spans="1:40" ht="13.2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35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 spans="1:40" ht="13.2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35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 spans="1:40" ht="13.2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35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 spans="1:40" ht="13.2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35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 spans="1:40" ht="13.2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35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 spans="1:40" ht="13.2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35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 spans="1:40" ht="13.2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35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 spans="1:40" ht="13.2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35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 spans="1:40" ht="13.2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35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 spans="1:40" ht="13.2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35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 spans="1:40" ht="13.2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35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 spans="1:40" ht="13.2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35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 spans="1:40" ht="13.2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35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 spans="1:40" ht="13.2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35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 spans="1:40" ht="13.2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35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 spans="1:40" ht="13.2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35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 spans="1:40" ht="13.2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35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 spans="1:40" ht="13.2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35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 spans="1:40" ht="13.2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35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 spans="1:40" ht="13.2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35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 spans="1:40" ht="13.2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35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 spans="1:40" ht="13.2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35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 spans="1:40" ht="13.2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35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 spans="1:40" ht="13.2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35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 spans="1:40" ht="13.2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35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 spans="1:40" ht="13.2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35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 spans="1:40" ht="13.2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35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 spans="1:40" ht="13.2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35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 spans="1:40" ht="13.2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35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 spans="1:40" ht="13.2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35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 spans="1:40" ht="13.2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35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 spans="1:40" ht="13.2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35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 spans="1:40" ht="13.2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35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 spans="1:40" ht="13.2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35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 spans="1:40" ht="13.2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35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 spans="1:40" ht="13.2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35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 spans="1:40" ht="13.2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35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 spans="1:40" ht="13.2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35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 spans="1:40" ht="13.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35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 spans="1:40" ht="13.2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35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 spans="1:40" ht="13.2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35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 spans="1:40" ht="13.2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35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 spans="1:40" ht="13.2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35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 spans="1:40" ht="13.2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35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 spans="1:40" ht="13.2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35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 spans="1:40" ht="13.2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35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 spans="1:40" ht="13.2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35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 spans="1:40" ht="13.2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35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 spans="1:40" ht="13.2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35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 spans="1:40" ht="13.2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35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 spans="1:40" ht="13.2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35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 spans="1:40" ht="13.2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35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 spans="1:40" ht="13.2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35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 spans="1:40" ht="13.2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35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 spans="1:40" ht="13.2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35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 spans="1:40" ht="13.2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35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 spans="1:40" ht="13.2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35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 spans="1:40" ht="13.2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35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 spans="1:40" ht="13.2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35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 spans="1:40" ht="13.2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35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 spans="1:40" ht="13.2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35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 spans="1:40" ht="13.2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35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 spans="1:40" ht="13.2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35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 spans="1:40" ht="13.2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35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 spans="1:40" ht="13.2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35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 spans="1:40" ht="13.2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35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 spans="1:40" ht="13.2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35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 spans="1:40" ht="13.2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35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 spans="1:40" ht="13.2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35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 spans="1:40" ht="13.2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35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 spans="1:40" ht="13.2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35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 spans="1:40" ht="13.2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35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 spans="1:40" ht="13.2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35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 spans="1:40" ht="13.2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35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 spans="1:40" ht="13.2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35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 spans="1:40" ht="13.2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35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 spans="1:40" ht="13.2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35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 spans="1:40" ht="13.2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35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 spans="1:40" ht="13.2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35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 spans="1:40" ht="13.2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35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 spans="1:40" ht="13.2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35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 spans="1:40" ht="13.2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35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 spans="1:40" ht="13.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35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 spans="1:40" ht="13.2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35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 spans="1:40" ht="13.2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35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 spans="1:40" ht="13.2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35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 spans="1:40" ht="13.2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35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 spans="1:40" ht="13.2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35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 spans="1:40" ht="13.2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35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 spans="1:40" ht="13.2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35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 spans="1:40" ht="13.2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35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 spans="1:40" ht="13.2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35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 spans="1:40" ht="13.2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35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 spans="1:40" ht="13.2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35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 spans="1:40" ht="13.2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35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 spans="1:40" ht="13.2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35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 spans="1:40" ht="13.2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35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 spans="1:40" ht="13.2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35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 spans="1:40" ht="13.2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35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 spans="1:40" ht="13.2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35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 spans="1:40" ht="13.2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35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 spans="1:40" ht="13.2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35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 spans="1:40" ht="13.2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35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 spans="1:40" ht="13.2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35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 spans="1:40" ht="13.2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35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</sheetData>
  <mergeCells count="1">
    <mergeCell ref="C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D5:F12"/>
  <sheetViews>
    <sheetView workbookViewId="0"/>
  </sheetViews>
  <sheetFormatPr defaultColWidth="12.6640625" defaultRowHeight="15.75" customHeight="1"/>
  <sheetData>
    <row r="5" spans="4:6">
      <c r="D5" s="31" t="s">
        <v>0</v>
      </c>
      <c r="E5" s="32">
        <v>0.01</v>
      </c>
    </row>
    <row r="6" spans="4:6">
      <c r="D6" s="31" t="s">
        <v>1</v>
      </c>
      <c r="E6" s="32">
        <v>0.01</v>
      </c>
    </row>
    <row r="7" spans="4:6">
      <c r="D7" s="31" t="s">
        <v>92</v>
      </c>
      <c r="E7" s="33">
        <v>8.3500000000000005E-2</v>
      </c>
      <c r="F7" s="31" t="s">
        <v>107</v>
      </c>
    </row>
    <row r="10" spans="4:6">
      <c r="D10" s="31" t="s">
        <v>0</v>
      </c>
      <c r="E10" s="32">
        <v>0.01</v>
      </c>
    </row>
    <row r="11" spans="4:6">
      <c r="D11" s="31" t="s">
        <v>1</v>
      </c>
      <c r="E11" s="32">
        <v>4.3400000000000001E-3</v>
      </c>
    </row>
    <row r="12" spans="4:6">
      <c r="D12" s="31" t="s">
        <v>93</v>
      </c>
      <c r="E12" s="33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ตัวคูณ</vt:lpstr>
      <vt:lpstr>BEST</vt:lpstr>
      <vt:lpstr>Price Cost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Awirut Tangwong</cp:lastModifiedBy>
  <dcterms:created xsi:type="dcterms:W3CDTF">2026-07-01T07:54:36Z</dcterms:created>
  <dcterms:modified xsi:type="dcterms:W3CDTF">2026-07-01T08:01:21Z</dcterms:modified>
</cp:coreProperties>
</file>